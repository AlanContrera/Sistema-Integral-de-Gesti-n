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sistemas_pm\Proyectos\Sistema-Integral-de-Gestion\backend\apps\cotizador\templates\"/>
    </mc:Choice>
  </mc:AlternateContent>
  <xr:revisionPtr revIDLastSave="0" documentId="13_ncr:1_{91A46854-7EB5-4AFE-A3B9-38CA8AC46971}" xr6:coauthVersionLast="47" xr6:coauthVersionMax="47" xr10:uidLastSave="{00000000-0000-0000-0000-000000000000}"/>
  <bookViews>
    <workbookView xWindow="1116" yWindow="1116" windowWidth="17280" windowHeight="9960" tabRatio="784" firstSheet="7" activeTab="7" xr2:uid="{6B8609C1-1617-49BD-9344-1A1A9DA0D237}"/>
  </bookViews>
  <sheets>
    <sheet name="Forma_Pago" sheetId="4" state="hidden" r:id="rId1"/>
    <sheet name="Impuesto" sheetId="5" state="hidden" r:id="rId2"/>
    <sheet name="Metodo_Pago" sheetId="6" state="hidden" r:id="rId3"/>
    <sheet name="Moneda" sheetId="7" state="hidden" r:id="rId4"/>
    <sheet name="Tipo_Comprobante" sheetId="9" state="hidden" r:id="rId5"/>
    <sheet name="Tipo_Relacion" sheetId="10" state="hidden" r:id="rId6"/>
    <sheet name="Uso_CFDI" sheetId="11" state="hidden" r:id="rId7"/>
    <sheet name="4.0" sheetId="12" r:id="rId8"/>
    <sheet name="Emisor" sheetId="13" r:id="rId9"/>
  </sheets>
  <definedNames>
    <definedName name="_xlnm._FilterDatabase" localSheetId="3" hidden="1">Moneda!$A$5:$D$183</definedName>
    <definedName name="DropDownList">#REF!:INDEX(#REF!,SUMIF(#REF!,"?*"))</definedName>
    <definedName name="FORMA_PAGO">Forma_Pago!$P$7:$P$27</definedName>
    <definedName name="IMPUESTO">Impuesto!$H$7</definedName>
    <definedName name="METODO_PAGO">Metodo_Pago!$F$7:$F$8</definedName>
    <definedName name="MONEDA">Moneda!$F$6:$F$7</definedName>
    <definedName name="TIPO_COMPROBANTE">Tipo_Comprobante!$H$6:$H$9</definedName>
    <definedName name="TIPO_RELACION">Tipo_Relacion!$F$6:$F$12</definedName>
    <definedName name="USO_CFDI">Uso_CFDI!$H$7:$H$28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2" l="1"/>
  <c r="J20" i="12"/>
  <c r="K23" i="12"/>
  <c r="E7" i="4"/>
  <c r="F7" i="4"/>
  <c r="H7" i="4"/>
  <c r="I7" i="4"/>
  <c r="K7" i="4"/>
  <c r="E13" i="4"/>
  <c r="F13" i="4"/>
  <c r="H13" i="4"/>
  <c r="I13" i="4"/>
  <c r="K13" i="4"/>
  <c r="E14" i="4"/>
  <c r="F14" i="4"/>
  <c r="H14" i="4"/>
  <c r="I14" i="4"/>
  <c r="K14" i="4"/>
  <c r="E15" i="4"/>
  <c r="F15" i="4"/>
  <c r="H15" i="4"/>
  <c r="I15" i="4"/>
  <c r="K15" i="4"/>
  <c r="E16" i="4"/>
  <c r="F16" i="4"/>
  <c r="H16" i="4"/>
  <c r="I16" i="4"/>
  <c r="K16" i="4"/>
  <c r="E17" i="4"/>
  <c r="F17" i="4"/>
  <c r="H17" i="4"/>
  <c r="I17" i="4"/>
  <c r="K17" i="4"/>
  <c r="E18" i="4"/>
  <c r="F18" i="4"/>
  <c r="H18" i="4"/>
  <c r="I18" i="4"/>
  <c r="K18" i="4"/>
  <c r="E19" i="4"/>
  <c r="F19" i="4"/>
  <c r="H19" i="4"/>
  <c r="I19" i="4"/>
  <c r="K19" i="4"/>
  <c r="E20" i="4"/>
  <c r="F20" i="4"/>
  <c r="H20" i="4"/>
  <c r="I20" i="4"/>
  <c r="K20" i="4"/>
  <c r="E21" i="4"/>
  <c r="F21" i="4"/>
  <c r="H21" i="4"/>
  <c r="I21" i="4"/>
  <c r="K21" i="4"/>
  <c r="E22" i="4"/>
  <c r="F22" i="4"/>
  <c r="H22" i="4"/>
  <c r="I22" i="4"/>
  <c r="K22" i="4"/>
  <c r="E23" i="4"/>
  <c r="F23" i="4"/>
  <c r="H23" i="4"/>
  <c r="I23" i="4"/>
  <c r="K23" i="4"/>
  <c r="K20" i="12"/>
  <c r="K22" i="12"/>
  <c r="K24" i="12"/>
</calcChain>
</file>

<file path=xl/sharedStrings.xml><?xml version="1.0" encoding="utf-8"?>
<sst xmlns="http://schemas.openxmlformats.org/spreadsheetml/2006/main" count="1017" uniqueCount="611">
  <si>
    <t>TOTAL</t>
  </si>
  <si>
    <t>SUBTOTAL</t>
  </si>
  <si>
    <t>No</t>
  </si>
  <si>
    <t>CANTIDAD</t>
  </si>
  <si>
    <t>DESCRIPCION</t>
  </si>
  <si>
    <t>IVA</t>
  </si>
  <si>
    <t>FORMA DE PAGO</t>
  </si>
  <si>
    <t>METODO DE PAGO</t>
  </si>
  <si>
    <t>UNIDAD</t>
  </si>
  <si>
    <t>CLAVE PROD SERV</t>
  </si>
  <si>
    <t>CLAVE UNIDAD</t>
  </si>
  <si>
    <t>VALOR UNITARIO</t>
  </si>
  <si>
    <t>IMPUESTO</t>
  </si>
  <si>
    <t>IMPORTE</t>
  </si>
  <si>
    <t>002 - IVA</t>
  </si>
  <si>
    <t>NO.</t>
  </si>
  <si>
    <t>PARTIDAS DEL COMPROBANTE</t>
  </si>
  <si>
    <t>TIPO DE RELACION</t>
  </si>
  <si>
    <t>MONEDA</t>
  </si>
  <si>
    <t>TIPO DE CAMBIO</t>
  </si>
  <si>
    <t>MXN</t>
  </si>
  <si>
    <t>G03 - GASTOS EN GENERAL</t>
  </si>
  <si>
    <t>FOLIO CFDI RELACIONADO</t>
  </si>
  <si>
    <t>TIPO DE COMPROBANTE</t>
  </si>
  <si>
    <t>RFC RECEPTOR</t>
  </si>
  <si>
    <t>RAZON SOCIAL RECEPTOR</t>
  </si>
  <si>
    <t>I - INGRESO</t>
  </si>
  <si>
    <t>IMP. TRASLADADOS</t>
  </si>
  <si>
    <t>USO CFDI</t>
  </si>
  <si>
    <t>Versión</t>
  </si>
  <si>
    <t>Revisión</t>
  </si>
  <si>
    <t>Descripción</t>
  </si>
  <si>
    <t>AWG</t>
  </si>
  <si>
    <t>CLF</t>
  </si>
  <si>
    <t>COU</t>
  </si>
  <si>
    <t>D03</t>
  </si>
  <si>
    <t>D04</t>
  </si>
  <si>
    <t>D10</t>
  </si>
  <si>
    <t>G01</t>
  </si>
  <si>
    <t>GIP</t>
  </si>
  <si>
    <t>KGS</t>
  </si>
  <si>
    <t>MMK</t>
  </si>
  <si>
    <t>NPR</t>
  </si>
  <si>
    <t>SCR</t>
  </si>
  <si>
    <t>XAF</t>
  </si>
  <si>
    <t>XAG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</si>
  <si>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</si>
  <si>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</si>
  <si>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</si>
  <si>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</si>
  <si>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</si>
  <si>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</si>
  <si>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</si>
  <si>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</si>
  <si>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</si>
  <si>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</si>
  <si>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</si>
  <si>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</si>
  <si>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Catálogo de formas de pago.</t>
  </si>
  <si>
    <t>c_FormaPago</t>
  </si>
  <si>
    <t>Bancarizado</t>
  </si>
  <si>
    <t>Número de operación</t>
  </si>
  <si>
    <t>RFC del Emisor de la cuenta ordenante</t>
  </si>
  <si>
    <t>Cuenta Ordenante</t>
  </si>
  <si>
    <t>Patrón para cuenta ordenante</t>
  </si>
  <si>
    <t>RFC del Emisor Cuenta de Beneficiario</t>
  </si>
  <si>
    <t>Cuenta de Benenficiario</t>
  </si>
  <si>
    <t>Patrón para cuenta Beneficiaria</t>
  </si>
  <si>
    <t>Tipo Cadena Pago</t>
  </si>
  <si>
    <t>Nombre del Banco emisor de la cuenta ordenante en caso de extranjero</t>
  </si>
  <si>
    <t>Fecha inicio de vigencia</t>
  </si>
  <si>
    <t>Fecha fin de vigencia</t>
  </si>
  <si>
    <t>Efectivo</t>
  </si>
  <si>
    <t>Opcional</t>
  </si>
  <si>
    <t>Cheque nominativo</t>
  </si>
  <si>
    <t>Sí</t>
  </si>
  <si>
    <t>[0-9]{11}|[0-9]{18}</t>
  </si>
  <si>
    <t>[0-9]{10,11}|[0-9]{15,16}|[0-9]{18}|[A-Z0-9_]{10,50}</t>
  </si>
  <si>
    <t>Si el RFC del emisor de la cuenta ordenante es XEXX010101000, este campo es obligatorio.</t>
  </si>
  <si>
    <t>Transferencia electrónica de fondos</t>
  </si>
  <si>
    <t>[0-9]{10}|[0-9]{16}|[0-9]{18}</t>
  </si>
  <si>
    <t>[0-9]{10}|[0-9]{18}</t>
  </si>
  <si>
    <t>Tarjeta de crédito</t>
  </si>
  <si>
    <t>[0-9]{16}</t>
  </si>
  <si>
    <t>Monedero electrónico</t>
  </si>
  <si>
    <t>Dinero electrónico</t>
  </si>
  <si>
    <t>[0-9]{10}</t>
  </si>
  <si>
    <t>Vales de despensa</t>
  </si>
  <si>
    <t>NO</t>
  </si>
  <si>
    <t>Dación en pago</t>
  </si>
  <si>
    <t>Pago por subrogación</t>
  </si>
  <si>
    <t>Pago por consignación</t>
  </si>
  <si>
    <t>Condonación</t>
  </si>
  <si>
    <t>Compensación</t>
  </si>
  <si>
    <t>Novación</t>
  </si>
  <si>
    <t>Confusión</t>
  </si>
  <si>
    <t>Remisión de deuda</t>
  </si>
  <si>
    <t>Prescripción o caducidad</t>
  </si>
  <si>
    <t>A satisfacción del acreedor</t>
  </si>
  <si>
    <t>Tarjeta de débito</t>
  </si>
  <si>
    <t>Tarjeta de servicios</t>
  </si>
  <si>
    <t>[0-9]{15,16}</t>
  </si>
  <si>
    <t>Aplicación de anticipos</t>
  </si>
  <si>
    <t>Por definir</t>
  </si>
  <si>
    <t>Catálogo de impuestos.</t>
  </si>
  <si>
    <t>c_Impuesto</t>
  </si>
  <si>
    <t>Retención</t>
  </si>
  <si>
    <t>Traslado</t>
  </si>
  <si>
    <t>Local o federal</t>
  </si>
  <si>
    <t>Entidad en la que aplica</t>
  </si>
  <si>
    <t>ISR</t>
  </si>
  <si>
    <t>Si</t>
  </si>
  <si>
    <t>Federal</t>
  </si>
  <si>
    <t>IEPS</t>
  </si>
  <si>
    <t>Catálogo de Método de Pago.</t>
  </si>
  <si>
    <t>c_MetodoPago</t>
  </si>
  <si>
    <t>PUE</t>
  </si>
  <si>
    <t>Pago en una sola exhibición</t>
  </si>
  <si>
    <t>PPD</t>
  </si>
  <si>
    <t>Pago en parcialidades o diferido</t>
  </si>
  <si>
    <t xml:space="preserve">Catálogo de moneda. </t>
  </si>
  <si>
    <t>c_Moneda</t>
  </si>
  <si>
    <t>Decimales</t>
  </si>
  <si>
    <t>Porcentaje variación</t>
  </si>
  <si>
    <t>AED</t>
  </si>
  <si>
    <t>Dirham de EAU</t>
  </si>
  <si>
    <t>2</t>
  </si>
  <si>
    <t>AFN</t>
  </si>
  <si>
    <t>Afghani</t>
  </si>
  <si>
    <t>ALL</t>
  </si>
  <si>
    <t>Lek</t>
  </si>
  <si>
    <t>AMD</t>
  </si>
  <si>
    <t>Dram armenio</t>
  </si>
  <si>
    <t>ANG</t>
  </si>
  <si>
    <t>Florín antillano neerlandés</t>
  </si>
  <si>
    <t>AOA</t>
  </si>
  <si>
    <t>Kwanza</t>
  </si>
  <si>
    <t>ARS</t>
  </si>
  <si>
    <t>Peso Argentino</t>
  </si>
  <si>
    <t>AUD</t>
  </si>
  <si>
    <t>Dólar Australiano</t>
  </si>
  <si>
    <t>Aruba Florin</t>
  </si>
  <si>
    <t>AZN</t>
  </si>
  <si>
    <t>Azerbaijanian Manat</t>
  </si>
  <si>
    <t>BAM</t>
  </si>
  <si>
    <t>Convertibles marca</t>
  </si>
  <si>
    <t>BBD</t>
  </si>
  <si>
    <t>Dólar de Barbados</t>
  </si>
  <si>
    <t>BDT</t>
  </si>
  <si>
    <t>Taka</t>
  </si>
  <si>
    <t>BGN</t>
  </si>
  <si>
    <t>Lev búlgaro</t>
  </si>
  <si>
    <t>BHD</t>
  </si>
  <si>
    <t>Dinar de Bahrein</t>
  </si>
  <si>
    <t>3</t>
  </si>
  <si>
    <t>BIF</t>
  </si>
  <si>
    <t>Burundi Franc</t>
  </si>
  <si>
    <t>0</t>
  </si>
  <si>
    <t>BMD</t>
  </si>
  <si>
    <t>Dólar de Bermudas</t>
  </si>
  <si>
    <t>BND</t>
  </si>
  <si>
    <t>Dólar de Brunei</t>
  </si>
  <si>
    <t>BOB</t>
  </si>
  <si>
    <t>Boliviano</t>
  </si>
  <si>
    <t>BOV</t>
  </si>
  <si>
    <t>Mvdol</t>
  </si>
  <si>
    <t>BRL</t>
  </si>
  <si>
    <t>Real brasileño</t>
  </si>
  <si>
    <t>BSD</t>
  </si>
  <si>
    <t>Dólar de las Bahamas</t>
  </si>
  <si>
    <t>BTN</t>
  </si>
  <si>
    <t>Ngultrum</t>
  </si>
  <si>
    <t>BWP</t>
  </si>
  <si>
    <t>Pula</t>
  </si>
  <si>
    <t>BYR</t>
  </si>
  <si>
    <t>Rublo bielorruso</t>
  </si>
  <si>
    <t>BZD</t>
  </si>
  <si>
    <t>Dólar de Belice</t>
  </si>
  <si>
    <t>CAD</t>
  </si>
  <si>
    <t>Dolar Canadiense</t>
  </si>
  <si>
    <t>CDF</t>
  </si>
  <si>
    <t>Franco congoleño</t>
  </si>
  <si>
    <t>CHE</t>
  </si>
  <si>
    <t>WIR Euro</t>
  </si>
  <si>
    <t>CHF</t>
  </si>
  <si>
    <t>Franco Suizo</t>
  </si>
  <si>
    <t>CHW</t>
  </si>
  <si>
    <t>Franc WIR</t>
  </si>
  <si>
    <t>Unidad de Fomento</t>
  </si>
  <si>
    <t>4</t>
  </si>
  <si>
    <t>CLP</t>
  </si>
  <si>
    <t>Peso chileno</t>
  </si>
  <si>
    <t>CNY</t>
  </si>
  <si>
    <t>Yuan Renminbi</t>
  </si>
  <si>
    <t>COP</t>
  </si>
  <si>
    <t>Peso Colombiano</t>
  </si>
  <si>
    <t>Unidad de Valor real</t>
  </si>
  <si>
    <t>CRC</t>
  </si>
  <si>
    <t>Colón costarricense</t>
  </si>
  <si>
    <t>CUC</t>
  </si>
  <si>
    <t>Peso Convertible</t>
  </si>
  <si>
    <t>CUP</t>
  </si>
  <si>
    <t>Peso Cubano</t>
  </si>
  <si>
    <t>CVE</t>
  </si>
  <si>
    <t>Cabo Verde Escudo</t>
  </si>
  <si>
    <t>CZK</t>
  </si>
  <si>
    <t>Corona checa</t>
  </si>
  <si>
    <t>DJF</t>
  </si>
  <si>
    <t>Franco de Djibouti</t>
  </si>
  <si>
    <t>DKK</t>
  </si>
  <si>
    <t>Corona danesa</t>
  </si>
  <si>
    <t>DOP</t>
  </si>
  <si>
    <t>Peso Dominicano</t>
  </si>
  <si>
    <t>DZD</t>
  </si>
  <si>
    <t>Dinar argelino</t>
  </si>
  <si>
    <t>EGP</t>
  </si>
  <si>
    <t>Libra egipcia</t>
  </si>
  <si>
    <t>ERN</t>
  </si>
  <si>
    <t>Nakfa</t>
  </si>
  <si>
    <t>ETB</t>
  </si>
  <si>
    <t>Birr etíope</t>
  </si>
  <si>
    <t>EUR</t>
  </si>
  <si>
    <t>Euro</t>
  </si>
  <si>
    <t>FJD</t>
  </si>
  <si>
    <t>Dólar de Fiji</t>
  </si>
  <si>
    <t>FKP</t>
  </si>
  <si>
    <t>Libra malvinense</t>
  </si>
  <si>
    <t>GBP</t>
  </si>
  <si>
    <t>Libra Esterlina</t>
  </si>
  <si>
    <t>GEL</t>
  </si>
  <si>
    <t>Lari</t>
  </si>
  <si>
    <t>GHS</t>
  </si>
  <si>
    <t>Cedi de Ghana</t>
  </si>
  <si>
    <t>Libra de Gibraltar</t>
  </si>
  <si>
    <t>GMD</t>
  </si>
  <si>
    <t>Dalasi</t>
  </si>
  <si>
    <t>GNF</t>
  </si>
  <si>
    <t>Franco guineano</t>
  </si>
  <si>
    <t>GTQ</t>
  </si>
  <si>
    <t>Quetzal</t>
  </si>
  <si>
    <t>GYD</t>
  </si>
  <si>
    <t>Dólar guyanés</t>
  </si>
  <si>
    <t>HKD</t>
  </si>
  <si>
    <t>Dolar De Hong Kong</t>
  </si>
  <si>
    <t>HNL</t>
  </si>
  <si>
    <t>Lempira</t>
  </si>
  <si>
    <t>HRK</t>
  </si>
  <si>
    <t>Kuna</t>
  </si>
  <si>
    <t>HTG</t>
  </si>
  <si>
    <t>Gourde</t>
  </si>
  <si>
    <t>HUF</t>
  </si>
  <si>
    <t>Florín</t>
  </si>
  <si>
    <t>IDR</t>
  </si>
  <si>
    <t>Rupia</t>
  </si>
  <si>
    <t>ILS</t>
  </si>
  <si>
    <t>Nuevo Shekel Israelí</t>
  </si>
  <si>
    <t>INR</t>
  </si>
  <si>
    <t>Rupia india</t>
  </si>
  <si>
    <t>IQD</t>
  </si>
  <si>
    <t>Dinar iraquí</t>
  </si>
  <si>
    <t>IRR</t>
  </si>
  <si>
    <t>Rial iraní</t>
  </si>
  <si>
    <t>ISK</t>
  </si>
  <si>
    <t>Corona islandesa</t>
  </si>
  <si>
    <t>JMD</t>
  </si>
  <si>
    <t>Dólar Jamaiquino</t>
  </si>
  <si>
    <t>JOD</t>
  </si>
  <si>
    <t>Dinar jordano</t>
  </si>
  <si>
    <t>JPY</t>
  </si>
  <si>
    <t>Yen</t>
  </si>
  <si>
    <t>KES</t>
  </si>
  <si>
    <t>Chelín keniano</t>
  </si>
  <si>
    <t>Som</t>
  </si>
  <si>
    <t>KHR</t>
  </si>
  <si>
    <t>Riel</t>
  </si>
  <si>
    <t>KMF</t>
  </si>
  <si>
    <t>Franco Comoro</t>
  </si>
  <si>
    <t>KPW</t>
  </si>
  <si>
    <t>Corea del Norte ganó</t>
  </si>
  <si>
    <t>KRW</t>
  </si>
  <si>
    <t>Won</t>
  </si>
  <si>
    <t>KWD</t>
  </si>
  <si>
    <t>Dinar kuwaití</t>
  </si>
  <si>
    <t>KYD</t>
  </si>
  <si>
    <t>Dólar de las Islas Caimán</t>
  </si>
  <si>
    <t>KZT</t>
  </si>
  <si>
    <t>Tenge</t>
  </si>
  <si>
    <t>LAK</t>
  </si>
  <si>
    <t>Kip</t>
  </si>
  <si>
    <t>LBP</t>
  </si>
  <si>
    <t>Libra libanesa</t>
  </si>
  <si>
    <t>LKR</t>
  </si>
  <si>
    <t>Rupia de Sri Lanka</t>
  </si>
  <si>
    <t>LRD</t>
  </si>
  <si>
    <t>Dólar liberiano</t>
  </si>
  <si>
    <t>LSL</t>
  </si>
  <si>
    <t>Loti</t>
  </si>
  <si>
    <t>LYD</t>
  </si>
  <si>
    <t>Dinar libio</t>
  </si>
  <si>
    <t>MAD</t>
  </si>
  <si>
    <t>Dirham marroquí</t>
  </si>
  <si>
    <t>MDL</t>
  </si>
  <si>
    <t>Leu moldavo</t>
  </si>
  <si>
    <t>MGA</t>
  </si>
  <si>
    <t>Ariary malgache</t>
  </si>
  <si>
    <t>MKD</t>
  </si>
  <si>
    <t>Denar</t>
  </si>
  <si>
    <t>Kyat</t>
  </si>
  <si>
    <t>MNT</t>
  </si>
  <si>
    <t>Tugrik</t>
  </si>
  <si>
    <t>MOP</t>
  </si>
  <si>
    <t>Pataca</t>
  </si>
  <si>
    <t>MRO</t>
  </si>
  <si>
    <t>Ouguiya</t>
  </si>
  <si>
    <t>MUR</t>
  </si>
  <si>
    <t>Rupia de Mauricio</t>
  </si>
  <si>
    <t>MVR</t>
  </si>
  <si>
    <t>MWK</t>
  </si>
  <si>
    <t>Kwacha</t>
  </si>
  <si>
    <t>Peso Mexicano</t>
  </si>
  <si>
    <t>MXV</t>
  </si>
  <si>
    <t>México Unidad de Inversión (UDI)</t>
  </si>
  <si>
    <t>MYR</t>
  </si>
  <si>
    <t>Ringgit malayo</t>
  </si>
  <si>
    <t>MZN</t>
  </si>
  <si>
    <t>Mozambique Metical</t>
  </si>
  <si>
    <t>NAD</t>
  </si>
  <si>
    <t>Dólar de Namibia</t>
  </si>
  <si>
    <t>NGN</t>
  </si>
  <si>
    <t>Naira</t>
  </si>
  <si>
    <t>NIO</t>
  </si>
  <si>
    <t>Córdoba Oro</t>
  </si>
  <si>
    <t>NOK</t>
  </si>
  <si>
    <t>Corona noruega</t>
  </si>
  <si>
    <t>Rupia nepalí</t>
  </si>
  <si>
    <t>NZD</t>
  </si>
  <si>
    <t>Dólar de Nueva Zelanda</t>
  </si>
  <si>
    <t>OMR</t>
  </si>
  <si>
    <t>Rial omaní</t>
  </si>
  <si>
    <t>PAB</t>
  </si>
  <si>
    <t>Balboa</t>
  </si>
  <si>
    <t>PEN</t>
  </si>
  <si>
    <t>Nuevo Sol</t>
  </si>
  <si>
    <t>PGK</t>
  </si>
  <si>
    <t>Kina</t>
  </si>
  <si>
    <t>PHP</t>
  </si>
  <si>
    <t>Peso filipino</t>
  </si>
  <si>
    <t>PKR</t>
  </si>
  <si>
    <t>Rupia de Pakistán</t>
  </si>
  <si>
    <t>PLN</t>
  </si>
  <si>
    <t>Zloty</t>
  </si>
  <si>
    <t>PYG</t>
  </si>
  <si>
    <t>Guaraní</t>
  </si>
  <si>
    <t>QAR</t>
  </si>
  <si>
    <t>Qatar Rial</t>
  </si>
  <si>
    <t>RON</t>
  </si>
  <si>
    <t>Leu rumano</t>
  </si>
  <si>
    <t>RSD</t>
  </si>
  <si>
    <t>Dinar serbio</t>
  </si>
  <si>
    <t>RUB</t>
  </si>
  <si>
    <t>Rublo ruso</t>
  </si>
  <si>
    <t>RWF</t>
  </si>
  <si>
    <t>Franco ruandés</t>
  </si>
  <si>
    <t>SAR</t>
  </si>
  <si>
    <t>Riyal saudí</t>
  </si>
  <si>
    <t>SBD</t>
  </si>
  <si>
    <t>Dólar de las Islas Salomón</t>
  </si>
  <si>
    <t>Rupia de Seychelles</t>
  </si>
  <si>
    <t>SDG</t>
  </si>
  <si>
    <t>Libra sudanesa</t>
  </si>
  <si>
    <t>SEK</t>
  </si>
  <si>
    <t>Corona sueca</t>
  </si>
  <si>
    <t>SGD</t>
  </si>
  <si>
    <t>Dolar De Singapur</t>
  </si>
  <si>
    <t>SHP</t>
  </si>
  <si>
    <t>Libra de Santa Helena</t>
  </si>
  <si>
    <t>SLL</t>
  </si>
  <si>
    <t>Leona</t>
  </si>
  <si>
    <t>SOS</t>
  </si>
  <si>
    <t>Chelín somalí</t>
  </si>
  <si>
    <t>SRD</t>
  </si>
  <si>
    <t>Dólar de Suriname</t>
  </si>
  <si>
    <t>SSP</t>
  </si>
  <si>
    <t>Libra sudanesa Sur</t>
  </si>
  <si>
    <t>STD</t>
  </si>
  <si>
    <t>Dobra</t>
  </si>
  <si>
    <t>SVC</t>
  </si>
  <si>
    <t>Colon El Salvador</t>
  </si>
  <si>
    <t>SYP</t>
  </si>
  <si>
    <t>Libra Siria</t>
  </si>
  <si>
    <t>SZL</t>
  </si>
  <si>
    <t>Lilangeni</t>
  </si>
  <si>
    <t>THB</t>
  </si>
  <si>
    <t>Baht</t>
  </si>
  <si>
    <t>TJS</t>
  </si>
  <si>
    <t>Somoni</t>
  </si>
  <si>
    <t>TMT</t>
  </si>
  <si>
    <t>Turkmenistán nuevo manat</t>
  </si>
  <si>
    <t>TND</t>
  </si>
  <si>
    <t>Dinar tunecino</t>
  </si>
  <si>
    <t>TOP</t>
  </si>
  <si>
    <t>Pa'anga</t>
  </si>
  <si>
    <t>TRY</t>
  </si>
  <si>
    <t>Lira turca</t>
  </si>
  <si>
    <t>TTD</t>
  </si>
  <si>
    <t>Dólar de Trinidad y Tobago</t>
  </si>
  <si>
    <t>TWD</t>
  </si>
  <si>
    <t>Nuevo dólar de Taiwán</t>
  </si>
  <si>
    <t>TZS</t>
  </si>
  <si>
    <t>Shilling tanzano</t>
  </si>
  <si>
    <t>UAH</t>
  </si>
  <si>
    <t>Hryvnia</t>
  </si>
  <si>
    <t>UGX</t>
  </si>
  <si>
    <t>Shilling de Uganda</t>
  </si>
  <si>
    <t>USD</t>
  </si>
  <si>
    <t>Dolar americano</t>
  </si>
  <si>
    <t>USN</t>
  </si>
  <si>
    <t>Dólar estadounidense (día siguiente)</t>
  </si>
  <si>
    <t>UYI</t>
  </si>
  <si>
    <t>Peso Uruguay en Unidades Indexadas (URUIURUI)</t>
  </si>
  <si>
    <t>UYU</t>
  </si>
  <si>
    <t>Peso Uruguayo</t>
  </si>
  <si>
    <t>UZS</t>
  </si>
  <si>
    <t>Uzbekistán Sum</t>
  </si>
  <si>
    <t>VEF</t>
  </si>
  <si>
    <t>Bolívar</t>
  </si>
  <si>
    <t>VND</t>
  </si>
  <si>
    <t>Dong</t>
  </si>
  <si>
    <t>VUV</t>
  </si>
  <si>
    <t>Vatu</t>
  </si>
  <si>
    <t>WST</t>
  </si>
  <si>
    <t>Tala</t>
  </si>
  <si>
    <t>Franco CFA BEAC</t>
  </si>
  <si>
    <t>Plata</t>
  </si>
  <si>
    <t>XAU</t>
  </si>
  <si>
    <t>Oro</t>
  </si>
  <si>
    <t>Unidad de Mercados de Bonos Unidad Europea Composite (EURCO)</t>
  </si>
  <si>
    <t>Unidad Monetaria de Bonos de Mercados Unidad Europea (UEM-6)</t>
  </si>
  <si>
    <t>Mercados de Bonos Unidad Europea unidad de cuenta a 9 (UCE-9)</t>
  </si>
  <si>
    <t>Mercados de Bonos Unidad Europea unidad de cuenta a 17 (UCE-17)</t>
  </si>
  <si>
    <t>Dólar del Caribe Oriental</t>
  </si>
  <si>
    <t>DEG (Derechos Especiales de Giro)</t>
  </si>
  <si>
    <t>Franco CFA BCEAO</t>
  </si>
  <si>
    <t>Paladio</t>
  </si>
  <si>
    <t>Franco CFP</t>
  </si>
  <si>
    <t>Platino</t>
  </si>
  <si>
    <t>Sucre</t>
  </si>
  <si>
    <t>Códigos reservados específicamente para propósitos de prueba</t>
  </si>
  <si>
    <t>XUA</t>
  </si>
  <si>
    <t>Unidad ADB de Cuenta</t>
  </si>
  <si>
    <t>XXX</t>
  </si>
  <si>
    <t>Los códigos asignados para las transacciones en que intervenga ninguna moneda</t>
  </si>
  <si>
    <t>YER</t>
  </si>
  <si>
    <t>Rial yemení</t>
  </si>
  <si>
    <t>ZAR</t>
  </si>
  <si>
    <t>Rand</t>
  </si>
  <si>
    <t>ZMW</t>
  </si>
  <si>
    <t>Kwacha zambiano</t>
  </si>
  <si>
    <t>ZWL</t>
  </si>
  <si>
    <t>Zimbabwe Dólar</t>
  </si>
  <si>
    <t>Valor máximo</t>
  </si>
  <si>
    <t>Catálogo de tipos de comprobante.</t>
  </si>
  <si>
    <t>1.0</t>
  </si>
  <si>
    <t>c_TipoDeComprobante</t>
  </si>
  <si>
    <t>Ingreso</t>
  </si>
  <si>
    <t>100,000,000</t>
  </si>
  <si>
    <t>Egreso</t>
  </si>
  <si>
    <t>Nómina</t>
  </si>
  <si>
    <t>NS</t>
  </si>
  <si>
    <t>NdS</t>
  </si>
  <si>
    <t>Pago</t>
  </si>
  <si>
    <t>Catálogo de tipos de relación entre CFDI.</t>
  </si>
  <si>
    <t>c_TipoRelacion</t>
  </si>
  <si>
    <t>Nota de crédito de los documentos relacionados</t>
  </si>
  <si>
    <t>Nota de débito de los documentos relacionados</t>
  </si>
  <si>
    <t>Devolución de mercancía sobre facturas o traslados previos</t>
  </si>
  <si>
    <t>Sustitución de los CFDI previos</t>
  </si>
  <si>
    <t>Traslados de mercancias facturados previamente</t>
  </si>
  <si>
    <t>Factura generada por los traslados previos</t>
  </si>
  <si>
    <t>CFDI por aplicación de anticipo</t>
  </si>
  <si>
    <t>Catálogo de uso de comprobantes.</t>
  </si>
  <si>
    <t>c_UsoCFDI</t>
  </si>
  <si>
    <t>Aplica para tipo persona</t>
  </si>
  <si>
    <t>Física</t>
  </si>
  <si>
    <t>Moral</t>
  </si>
  <si>
    <t>G02</t>
  </si>
  <si>
    <t>G03</t>
  </si>
  <si>
    <t>I01</t>
  </si>
  <si>
    <t>I02</t>
  </si>
  <si>
    <t>I03</t>
  </si>
  <si>
    <t>I04</t>
  </si>
  <si>
    <t>I05</t>
  </si>
  <si>
    <t>I06</t>
  </si>
  <si>
    <t>I07</t>
  </si>
  <si>
    <t>I08</t>
  </si>
  <si>
    <t>D01</t>
  </si>
  <si>
    <t>D02</t>
  </si>
  <si>
    <t>D05</t>
  </si>
  <si>
    <t>D06</t>
  </si>
  <si>
    <t>D07</t>
  </si>
  <si>
    <t>D08</t>
  </si>
  <si>
    <t>D09</t>
  </si>
  <si>
    <t>P01</t>
  </si>
  <si>
    <t>E - EGRESO</t>
  </si>
  <si>
    <t>P - PAGO</t>
  </si>
  <si>
    <t>N - NOMINA</t>
  </si>
  <si>
    <t>T - TRASLADO</t>
  </si>
  <si>
    <t>G01 - Adquisición de mercancias</t>
  </si>
  <si>
    <t>G02 - Devoluciones, descuentos o bonificaciones</t>
  </si>
  <si>
    <t>G03 - Gastos en general</t>
  </si>
  <si>
    <t>I01 - Construcciones</t>
  </si>
  <si>
    <t>I02 - Mobilario y equipo de oficina por inversiones</t>
  </si>
  <si>
    <t>I03 - Equipo de transporte</t>
  </si>
  <si>
    <t>I04 - Equipo de computo y accesorios</t>
  </si>
  <si>
    <t>I05 - Dados, troqueles, moldes, matrices y herramental</t>
  </si>
  <si>
    <t>I06 - Comunicaciones telefónicas</t>
  </si>
  <si>
    <t>I07 - Comunicaciones satelitales</t>
  </si>
  <si>
    <t>I08 - Otra maquinaria y equipo</t>
  </si>
  <si>
    <t>D01 - Honorarios médicos, dentales y gastos hospitalarios.</t>
  </si>
  <si>
    <t>D02 - Gastos médicos por incapacidad o discapacidad</t>
  </si>
  <si>
    <t>D03 - Gastos funerales.</t>
  </si>
  <si>
    <t>D04 - Donativos.</t>
  </si>
  <si>
    <t>D05 - Intereses reales efectivamente pagados por créditos hipotecarios (casa habitación).</t>
  </si>
  <si>
    <t>D06 - Aportaciones voluntarias al SAR.</t>
  </si>
  <si>
    <t>D07 - Primas por seguros de gastos médicos.</t>
  </si>
  <si>
    <t>D08 - Gastos de transportación escolar obligatoria.</t>
  </si>
  <si>
    <t>D09 - Depósitos en cuentas para el ahorro, primas que tengan como base planes de pensiones.</t>
  </si>
  <si>
    <t>D010 - Pagos por servicios educativos (colegiaturas)</t>
  </si>
  <si>
    <t>P01 - Por definir</t>
  </si>
  <si>
    <t>G01 - ADQUISICIÓN DE MERCANCIAS</t>
  </si>
  <si>
    <t>G02 - DEVOLUCIONES, DESCUENTOS O BONIFICACIONES</t>
  </si>
  <si>
    <t>I01 - CONSTRUCCIONES</t>
  </si>
  <si>
    <t>I02 - MOBILARIO Y EQUIPO DE OFICINA POR INVERSIONES</t>
  </si>
  <si>
    <t>I03 - EQUIPO DE TRANSPORTE</t>
  </si>
  <si>
    <t>I04 - EQUIPO DE COMPUTO Y ACCESORIOS</t>
  </si>
  <si>
    <t>I05 - DADOS, TROQUELES, MOLDES, MATRICES Y HERRAMENTAL</t>
  </si>
  <si>
    <t>I06 - COMUNICACIONES TELEFÓNICAS</t>
  </si>
  <si>
    <t>I07 - COMUNICACIONES SATELITALES</t>
  </si>
  <si>
    <t>I08 - OTRA MAQUINARIA Y EQUIPO</t>
  </si>
  <si>
    <t>D01 - HONORARIOS MÉDICOS, DENTALES Y GASTOS HOSPITALARIOS.</t>
  </si>
  <si>
    <t>D02 - GASTOS MÉDICOS POR INCAPACIDAD O DISCAPACIDAD</t>
  </si>
  <si>
    <t>D03 - GASTOS FUNERALES.</t>
  </si>
  <si>
    <t>D04 - DONATIVOS.</t>
  </si>
  <si>
    <t>D05 - INTERESES REALES EFECTIVAMENTE PAGADOS POR CRÉDITOS HIPOTECARIOS (CASA HABITACIÓN).</t>
  </si>
  <si>
    <t>D06 - APORTACIONES VOLUNTARIAS AL SAR.</t>
  </si>
  <si>
    <t>D07 - PRIMAS POR SEGUROS DE GASTOS MÉDICOS.</t>
  </si>
  <si>
    <t>D08 - GASTOS DE TRANSPORTACIÓN ESCOLAR OBLIGATORIA.</t>
  </si>
  <si>
    <t>D09 - DEPÓSITOS EN CUENTAS PARA EL AHORRO, PRIMAS QUE TENGAN COMO BASE PLANES DE PENSIONES.</t>
  </si>
  <si>
    <t>D010 - PAGOS POR SERVICIOS EDUCATIVOS (COLEGIATURAS)</t>
  </si>
  <si>
    <t>P01 - POR DEFINIR</t>
  </si>
  <si>
    <t>01 - NOTA DE CRÉDITO DE LOS DOCUMENTOS RELACIONADOS</t>
  </si>
  <si>
    <t>02 - NOTA DE DÉBITO DE LOS DOCUMENTOS RELACIONADOS</t>
  </si>
  <si>
    <t>03 - DEVOLUCIÓN DE MERCANCÍA SOBRE FACTURAS O TRASLADOS PREVIOS</t>
  </si>
  <si>
    <t>04 - SUSTITUCIÓN DE LOS CFDI PREVIOS</t>
  </si>
  <si>
    <t>05 - TRASLADOS DE MERCANCIAS FACTURADOS PREVIAMENTE</t>
  </si>
  <si>
    <t>06 - FACTURA GENERADA POR LOS TRASLADOS PREVIOS</t>
  </si>
  <si>
    <t>07 - CFDI POR APLICACIÓN DE ANTICIPO</t>
  </si>
  <si>
    <t>USD - Dolar americano</t>
  </si>
  <si>
    <t>MXN - Peso Mexicano</t>
  </si>
  <si>
    <t>PUE - Pago en una sola exhibición</t>
  </si>
  <si>
    <t>PPD - Pago en parcialidades o diferido</t>
  </si>
  <si>
    <t>01 - EFECTIVO</t>
  </si>
  <si>
    <t>02 - CHEQUE NOMINATIVO</t>
  </si>
  <si>
    <t>03 - TRANSFERENCIA ELECTRÓNICA DE FONDOS</t>
  </si>
  <si>
    <t>04 - TARJETA DE CRÉDITO</t>
  </si>
  <si>
    <t>05 - MONEDERO ELECTRÓNICO</t>
  </si>
  <si>
    <t>06 - DINERO ELECTRÓNICO</t>
  </si>
  <si>
    <t>08 - VALES DE DESPENSA</t>
  </si>
  <si>
    <t>12 - DACIÓN EN PAGO</t>
  </si>
  <si>
    <t>13 - PAGO POR SUBROGACIÓN</t>
  </si>
  <si>
    <t>14 - PAGO POR CONSIGNACIÓN</t>
  </si>
  <si>
    <t>15 - CONDONACIÓN</t>
  </si>
  <si>
    <t>17 - COMPENSACIÓN</t>
  </si>
  <si>
    <t>23 - NOVACIÓN</t>
  </si>
  <si>
    <t>24 - CONFUSIÓN</t>
  </si>
  <si>
    <t>25 - REMISIÓN DE DEUDA</t>
  </si>
  <si>
    <t>26 - PRESCRIPCIÓN O CADUCIDAD</t>
  </si>
  <si>
    <t>27 - A SATISFACCIÓN DEL ACREEDOR</t>
  </si>
  <si>
    <t>28 - TARJETA DE DÉBITO</t>
  </si>
  <si>
    <t>29 - TARJETA DE SERVICIOS</t>
  </si>
  <si>
    <t>30 - APLICACIÓN DE ANTICIPOS</t>
  </si>
  <si>
    <t>99 - POR DEFINIR</t>
  </si>
  <si>
    <t>003 - IEPS</t>
  </si>
  <si>
    <t>CALLE Y NUMERO</t>
  </si>
  <si>
    <t>COLONIA</t>
  </si>
  <si>
    <t>CIUDAD</t>
  </si>
  <si>
    <t>ESTADO</t>
  </si>
  <si>
    <t>CODIGO POSTAL</t>
  </si>
  <si>
    <t>http://200.57.3.46:443/PyS/catUnidades.aspx</t>
  </si>
  <si>
    <t>http://200.57.3.46:443/PyS/catPyS.aspx</t>
  </si>
  <si>
    <t>FECHA DE PAGO</t>
  </si>
  <si>
    <t>EMPRESA QUE FACTURA</t>
  </si>
  <si>
    <t>Registro Federal de Contribuyentes</t>
  </si>
  <si>
    <t>Nombre o razón social</t>
  </si>
  <si>
    <t>Régimen fiscal</t>
  </si>
  <si>
    <t>Contribuyentes que tengan más de un local o establecimiento, se deberá señalar el domicilio del local o establecimiento</t>
  </si>
  <si>
    <t>El lugar y fecha de expedición.</t>
  </si>
  <si>
    <t>Régimen fiscal en el que tribute el receptor</t>
  </si>
  <si>
    <t xml:space="preserve"> </t>
  </si>
  <si>
    <t>E48</t>
  </si>
  <si>
    <t>SERVICIO</t>
  </si>
  <si>
    <t xml:space="preserve">Régimen General de Ley Personas Morales </t>
  </si>
  <si>
    <t>LEVICTUS SA DE CV</t>
  </si>
  <si>
    <t>Servicio de mantenimiento preventivo a tractocamión (cambio de aceite y filtros, lubricación, revisión y ajuste de sistemas de frenos, suspensión y dirección, revisión de niveles de fluidos, sistema eléctrico y llantas)</t>
  </si>
  <si>
    <t>TRG251009343</t>
  </si>
  <si>
    <t>TRANSPORTES REFRIGERADOS GOELI</t>
  </si>
  <si>
    <t>54915</t>
  </si>
  <si>
    <t>PRESA HUAPANGO 43</t>
  </si>
  <si>
    <t>LOS REYES</t>
  </si>
  <si>
    <t>TULTITLAN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</si>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</sst>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0.0"/>
    <numFmt numFmtId="165" formatCode="0.0000"/>
    <numFmt numFmtId="166" formatCode="000"/>
    <numFmt numFmtId="167" formatCode="00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1"/>
      <name val="Arial"/>
      <family val="2"/>
    </font>
    <font>
      <sz val="10"/>
      <name val="Lucida Sans"/>
      <family val="2"/>
    </font>
    <font>
      <b/>
      <sz val="16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theme="1"/>
      <name val="Arial"/>
      <family val="2"/>
    </font>
    <font>
      <sz val="11"/>
      <color theme="1" tint="0.499984740745262"/>
      <name val="Arial"/>
      <family val="2"/>
    </font>
    <font>
      <sz val="11"/>
      <color rgb="FF000000"/>
      <name val="Arial"/>
      <family val="2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2DCE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medium">
        <color indexed="64"/>
      </top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</borders>
  <cellStyleXfs count="9">
    <xf numFmtId="0" fontId="0" fillId="0" borderId="0"/>
    <xf numFmtId="0" fontId="9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0" xfId="0" applyNumberFormat="1" applyAlignment="1">
      <alignment horizontal="center"/>
    </xf>
    <xf numFmtId="44" fontId="7" fillId="0" borderId="26" xfId="2" applyFont="1" applyBorder="1" applyAlignment="1">
      <alignment horizontal="left"/>
    </xf>
    <xf numFmtId="0" fontId="4" fillId="2" borderId="1" xfId="5" applyFont="1" applyFill="1" applyBorder="1" applyAlignment="1">
      <alignment horizontal="center" vertical="center" wrapText="1"/>
    </xf>
    <xf numFmtId="164" fontId="4" fillId="0" borderId="2" xfId="5" applyNumberFormat="1" applyFont="1" applyBorder="1" applyAlignment="1">
      <alignment horizontal="center" vertical="center" wrapText="1"/>
    </xf>
    <xf numFmtId="0" fontId="4" fillId="0" borderId="2" xfId="5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/>
    <xf numFmtId="0" fontId="12" fillId="0" borderId="3" xfId="0" applyFont="1" applyBorder="1" applyAlignment="1">
      <alignment horizontal="center" vertical="center"/>
    </xf>
    <xf numFmtId="14" fontId="12" fillId="0" borderId="3" xfId="0" applyNumberFormat="1" applyFont="1" applyBorder="1"/>
    <xf numFmtId="166" fontId="12" fillId="0" borderId="3" xfId="0" applyNumberFormat="1" applyFont="1" applyBorder="1"/>
    <xf numFmtId="0" fontId="12" fillId="0" borderId="3" xfId="0" applyFont="1" applyBorder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167" fontId="14" fillId="0" borderId="5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4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vertical="center" wrapText="1"/>
    </xf>
    <xf numFmtId="14" fontId="4" fillId="0" borderId="2" xfId="5" applyNumberFormat="1" applyFont="1" applyBorder="1" applyAlignment="1">
      <alignment horizontal="center" vertical="center"/>
    </xf>
    <xf numFmtId="166" fontId="4" fillId="0" borderId="2" xfId="5" applyNumberFormat="1" applyFont="1" applyBorder="1" applyAlignment="1">
      <alignment horizontal="center" vertical="center"/>
    </xf>
    <xf numFmtId="14" fontId="12" fillId="0" borderId="5" xfId="0" applyNumberFormat="1" applyFont="1" applyBorder="1"/>
    <xf numFmtId="0" fontId="12" fillId="0" borderId="5" xfId="0" applyFont="1" applyBorder="1"/>
    <xf numFmtId="0" fontId="12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4" fillId="0" borderId="0" xfId="0" applyFont="1"/>
    <xf numFmtId="166" fontId="12" fillId="0" borderId="5" xfId="0" applyNumberFormat="1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4" fontId="12" fillId="0" borderId="5" xfId="0" applyNumberFormat="1" applyFont="1" applyBorder="1" applyAlignment="1">
      <alignment horizontal="center" vertical="center"/>
    </xf>
    <xf numFmtId="0" fontId="4" fillId="0" borderId="0" xfId="0" applyFont="1"/>
    <xf numFmtId="0" fontId="12" fillId="2" borderId="6" xfId="0" applyFont="1" applyFill="1" applyBorder="1" applyAlignment="1">
      <alignment horizontal="center" vertical="center" wrapText="1"/>
    </xf>
    <xf numFmtId="49" fontId="12" fillId="0" borderId="5" xfId="0" applyNumberFormat="1" applyFont="1" applyBorder="1" applyAlignment="1">
      <alignment horizontal="center" vertical="center" wrapText="1"/>
    </xf>
    <xf numFmtId="49" fontId="12" fillId="0" borderId="5" xfId="0" applyNumberFormat="1" applyFont="1" applyBorder="1" applyAlignment="1">
      <alignment vertical="center" wrapText="1"/>
    </xf>
    <xf numFmtId="9" fontId="12" fillId="3" borderId="5" xfId="7" applyFont="1" applyFill="1" applyBorder="1" applyAlignment="1">
      <alignment horizontal="center" vertical="top" wrapText="1"/>
    </xf>
    <xf numFmtId="0" fontId="4" fillId="2" borderId="7" xfId="5" applyFont="1" applyFill="1" applyBorder="1" applyAlignment="1">
      <alignment vertical="center" wrapText="1"/>
    </xf>
    <xf numFmtId="166" fontId="4" fillId="0" borderId="8" xfId="5" quotePrefix="1" applyNumberFormat="1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3" fontId="12" fillId="0" borderId="5" xfId="0" applyNumberFormat="1" applyFont="1" applyBorder="1" applyAlignment="1">
      <alignment horizontal="center" vertical="center" wrapText="1"/>
    </xf>
    <xf numFmtId="0" fontId="4" fillId="2" borderId="6" xfId="5" applyFont="1" applyFill="1" applyBorder="1" applyAlignment="1">
      <alignment horizontal="center" vertical="center" wrapText="1"/>
    </xf>
    <xf numFmtId="14" fontId="4" fillId="0" borderId="5" xfId="5" applyNumberFormat="1" applyFont="1" applyBorder="1" applyAlignment="1">
      <alignment horizontal="center" vertical="center"/>
    </xf>
    <xf numFmtId="166" fontId="4" fillId="0" borderId="5" xfId="5" applyNumberFormat="1" applyFont="1" applyBorder="1" applyAlignment="1">
      <alignment horizontal="center" vertical="center"/>
    </xf>
    <xf numFmtId="14" fontId="4" fillId="0" borderId="0" xfId="5" applyNumberFormat="1" applyFont="1" applyAlignment="1">
      <alignment horizontal="center" vertical="center"/>
    </xf>
    <xf numFmtId="166" fontId="4" fillId="0" borderId="0" xfId="5" applyNumberFormat="1" applyFont="1" applyAlignment="1">
      <alignment horizontal="center" vertical="center"/>
    </xf>
    <xf numFmtId="164" fontId="4" fillId="0" borderId="0" xfId="5" applyNumberFormat="1" applyFont="1" applyAlignment="1">
      <alignment horizontal="center" vertical="center" wrapText="1"/>
    </xf>
    <xf numFmtId="0" fontId="4" fillId="0" borderId="0" xfId="5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vertical="center" wrapText="1"/>
    </xf>
    <xf numFmtId="167" fontId="12" fillId="0" borderId="2" xfId="0" applyNumberFormat="1" applyFont="1" applyBorder="1" applyAlignment="1">
      <alignment horizontal="center" vertical="center" wrapText="1"/>
    </xf>
    <xf numFmtId="167" fontId="12" fillId="0" borderId="5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0" fillId="0" borderId="26" xfId="0" applyBorder="1" applyAlignment="1">
      <alignment horizontal="left"/>
    </xf>
    <xf numFmtId="165" fontId="0" fillId="0" borderId="26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 vertical="center" wrapText="1"/>
    </xf>
    <xf numFmtId="49" fontId="12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0" fillId="4" borderId="3" xfId="0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9" fillId="0" borderId="0" xfId="1" applyAlignment="1">
      <alignment horizontal="left"/>
    </xf>
    <xf numFmtId="0" fontId="11" fillId="0" borderId="27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44" fontId="15" fillId="0" borderId="27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7" fillId="0" borderId="0" xfId="0" applyFont="1" applyAlignment="1">
      <alignment horizontal="left"/>
    </xf>
    <xf numFmtId="0" fontId="0" fillId="0" borderId="12" xfId="0" applyBorder="1" applyAlignment="1">
      <alignment vertic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8" fillId="0" borderId="0" xfId="0" applyFont="1"/>
    <xf numFmtId="0" fontId="10" fillId="0" borderId="3" xfId="0" applyFont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10" fillId="0" borderId="0" xfId="0" applyFont="1"/>
    <xf numFmtId="0" fontId="10" fillId="6" borderId="0" xfId="0" applyFont="1" applyFill="1"/>
    <xf numFmtId="0" fontId="10" fillId="6" borderId="0" xfId="0" applyFont="1" applyFill="1" applyAlignment="1">
      <alignment horizontal="left" vertical="center"/>
    </xf>
    <xf numFmtId="0" fontId="10" fillId="0" borderId="26" xfId="0" applyFont="1" applyBorder="1" applyAlignment="1">
      <alignment horizontal="left"/>
    </xf>
    <xf numFmtId="0" fontId="0" fillId="0" borderId="0" xfId="0" quotePrefix="1"/>
    <xf numFmtId="0" fontId="10" fillId="0" borderId="11" xfId="0" applyFont="1" applyBorder="1"/>
    <xf numFmtId="0" fontId="15" fillId="6" borderId="28" xfId="0" applyFont="1" applyFill="1" applyBorder="1" applyAlignment="1">
      <alignment horizontal="center" vertical="center"/>
    </xf>
    <xf numFmtId="0" fontId="15" fillId="0" borderId="27" xfId="0" quotePrefix="1" applyFont="1" applyBorder="1" applyAlignment="1">
      <alignment horizontal="center" vertical="center"/>
    </xf>
    <xf numFmtId="4" fontId="0" fillId="0" borderId="0" xfId="0" applyNumberFormat="1"/>
    <xf numFmtId="44" fontId="15" fillId="0" borderId="27" xfId="2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0" fillId="0" borderId="12" xfId="0" quotePrefix="1" applyBorder="1" applyAlignment="1">
      <alignment vertical="center"/>
    </xf>
    <xf numFmtId="0" fontId="0" fillId="0" borderId="5" xfId="0" quotePrefix="1" applyBorder="1"/>
    <xf numFmtId="0" fontId="15" fillId="7" borderId="27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/>
    </xf>
    <xf numFmtId="0" fontId="10" fillId="5" borderId="0" xfId="0" applyFont="1" applyFill="1" applyAlignment="1">
      <alignment horizontal="left"/>
    </xf>
    <xf numFmtId="0" fontId="0" fillId="5" borderId="0" xfId="0" applyFill="1" applyAlignment="1">
      <alignment horizontal="center"/>
    </xf>
    <xf numFmtId="44" fontId="7" fillId="5" borderId="17" xfId="2" applyFont="1" applyFill="1" applyBorder="1" applyAlignment="1">
      <alignment horizontal="center"/>
    </xf>
    <xf numFmtId="44" fontId="7" fillId="5" borderId="18" xfId="2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0" fillId="0" borderId="26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left"/>
    </xf>
    <xf numFmtId="49" fontId="14" fillId="0" borderId="19" xfId="0" applyNumberFormat="1" applyFont="1" applyBorder="1" applyAlignment="1">
      <alignment horizontal="center" vertical="center" wrapText="1"/>
    </xf>
    <xf numFmtId="49" fontId="14" fillId="0" borderId="20" xfId="0" applyNumberFormat="1" applyFont="1" applyBorder="1" applyAlignment="1">
      <alignment horizontal="center" vertical="center"/>
    </xf>
    <xf numFmtId="49" fontId="14" fillId="0" borderId="15" xfId="0" applyNumberFormat="1" applyFont="1" applyBorder="1" applyAlignment="1">
      <alignment horizontal="center" vertical="center"/>
    </xf>
    <xf numFmtId="49" fontId="14" fillId="0" borderId="21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14" fillId="0" borderId="22" xfId="0" applyNumberFormat="1" applyFont="1" applyBorder="1" applyAlignment="1">
      <alignment horizontal="center" vertical="center"/>
    </xf>
    <xf numFmtId="49" fontId="14" fillId="0" borderId="23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49" fontId="14" fillId="0" borderId="16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left"/>
    </xf>
    <xf numFmtId="0" fontId="14" fillId="0" borderId="0" xfId="0" applyFont="1" applyAlignment="1">
      <alignment horizontal="left" vertical="center" wrapText="1"/>
    </xf>
    <xf numFmtId="49" fontId="6" fillId="0" borderId="25" xfId="0" quotePrefix="1" applyNumberFormat="1" applyFont="1" applyBorder="1" applyAlignment="1">
      <alignment horizontal="center" vertical="center" wrapText="1"/>
    </xf>
    <xf numFmtId="49" fontId="6" fillId="0" borderId="24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3" fontId="12" fillId="0" borderId="5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12" fillId="2" borderId="5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vertical="center" wrapText="1"/>
    </xf>
    <xf numFmtId="0" fontId="19" fillId="0" borderId="3" xfId="0" applyFont="1" applyBorder="1" applyAlignment="1">
      <alignment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4" fillId="2" borderId="6" xfId="5" applyFont="1" applyFill="1" applyBorder="1" applyAlignment="1">
      <alignment horizontal="center" vertical="center" wrapText="1"/>
    </xf>
    <xf numFmtId="0" fontId="4" fillId="2" borderId="14" xfId="5" applyFont="1" applyFill="1" applyBorder="1" applyAlignment="1">
      <alignment horizontal="center" vertical="center" wrapText="1"/>
    </xf>
  </cellXfs>
  <cellStyles count="9">
    <cellStyle name="Hipervínculo" xfId="1" builtinId="8"/>
    <cellStyle name="Moneda" xfId="2" builtinId="4"/>
    <cellStyle name="Moneda 2" xfId="3" xr:uid="{D05BE3B8-C804-4759-B736-82AA18992B4F}"/>
    <cellStyle name="Nor_x0004_al" xfId="4" xr:uid="{78AFB7DD-0080-46BC-A6D6-10A0EFF83E06}"/>
    <cellStyle name="Normal" xfId="0" builtinId="0"/>
    <cellStyle name="Normal 2 2" xfId="5" xr:uid="{E5C7E8CD-980E-4859-A58F-C09428EC3EB8}"/>
    <cellStyle name="Normal 2 3" xfId="6" xr:uid="{85048A2B-4532-40AB-99BE-42D394EAF94C}"/>
    <cellStyle name="Porcentaje" xfId="7" builtinId="5"/>
    <cellStyle name="Porcentaje 2" xfId="8" xr:uid="{1C644556-D5CF-40B8-BBA8-D293639B11F1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F3076-49CE-447D-912A-80B778B55D73}">
  <sheetPr codeName="Hoja5"/>
  <dimension ref="A2:P36"/>
  <sheetViews>
    <sheetView workbookViewId="0">
      <selection activeCell="H34" sqref="H34"/>
    </sheetView>
  </sheetViews>
  <sheetFormatPr baseColWidth="10" defaultColWidth="11.44140625" defaultRowHeight="13.8" x14ac:dyDescent="0.25"/>
  <cols>
    <col min="1" max="1" width="26.6640625" style="10" customWidth="1"/>
    <col min="2" max="2" width="34.88671875" style="10" bestFit="1" customWidth="1"/>
    <col min="3" max="3" width="12.6640625" style="10" hidden="1" customWidth="1"/>
    <col min="4" max="4" width="12.88671875" style="10" hidden="1" customWidth="1"/>
    <col min="5" max="6" width="0" style="10" hidden="1" customWidth="1"/>
    <col min="7" max="7" width="26" style="10" hidden="1" customWidth="1"/>
    <col min="8" max="8" width="13.44140625" style="10" hidden="1" customWidth="1"/>
    <col min="9" max="9" width="13" style="10" hidden="1" customWidth="1"/>
    <col min="10" max="10" width="47.44140625" style="10" hidden="1" customWidth="1"/>
    <col min="11" max="11" width="15.44140625" style="10" hidden="1" customWidth="1"/>
    <col min="12" max="12" width="88.6640625" style="10" hidden="1" customWidth="1"/>
    <col min="13" max="13" width="18.44140625" style="10" hidden="1" customWidth="1"/>
    <col min="14" max="14" width="10.44140625" style="10" hidden="1" customWidth="1"/>
    <col min="15" max="15" width="11.44140625" style="10"/>
    <col min="16" max="16" width="57.44140625" style="10" customWidth="1"/>
    <col min="17" max="17" width="11.44140625" style="10"/>
    <col min="18" max="18" width="48.109375" style="10" bestFit="1" customWidth="1"/>
    <col min="19" max="16384" width="11.44140625" style="10"/>
  </cols>
  <sheetData>
    <row r="2" spans="1:16" ht="14.4" thickBot="1" x14ac:dyDescent="0.3">
      <c r="A2" s="125" t="s">
        <v>58</v>
      </c>
      <c r="B2" s="125"/>
      <c r="C2" s="125"/>
      <c r="D2" s="9"/>
      <c r="E2" s="9"/>
      <c r="G2" s="126"/>
      <c r="H2" s="127"/>
    </row>
    <row r="3" spans="1:16" ht="14.4" thickBot="1" x14ac:dyDescent="0.3">
      <c r="A3" s="6" t="s">
        <v>29</v>
      </c>
      <c r="B3" s="6" t="s">
        <v>30</v>
      </c>
      <c r="E3" s="9"/>
      <c r="G3" s="11"/>
      <c r="H3" s="12"/>
    </row>
    <row r="4" spans="1:16" x14ac:dyDescent="0.25">
      <c r="A4" s="7">
        <v>1</v>
      </c>
      <c r="B4" s="8">
        <v>0</v>
      </c>
      <c r="E4" s="9"/>
      <c r="G4" s="11"/>
      <c r="H4" s="12"/>
    </row>
    <row r="5" spans="1:16" ht="14.4" thickBot="1" x14ac:dyDescent="0.3">
      <c r="A5" s="13"/>
      <c r="B5" s="13"/>
      <c r="C5" s="14"/>
      <c r="D5" s="15"/>
      <c r="E5" s="16"/>
      <c r="F5" s="17"/>
      <c r="G5" s="17"/>
      <c r="H5" s="17"/>
      <c r="I5" s="17"/>
      <c r="J5" s="17"/>
      <c r="K5" s="17"/>
      <c r="L5" s="17"/>
    </row>
    <row r="6" spans="1:16" ht="55.8" thickBot="1" x14ac:dyDescent="0.3">
      <c r="A6" s="18" t="s">
        <v>59</v>
      </c>
      <c r="B6" s="18" t="s">
        <v>31</v>
      </c>
      <c r="C6" s="19" t="s">
        <v>60</v>
      </c>
      <c r="D6" s="20" t="s">
        <v>61</v>
      </c>
      <c r="E6" s="20" t="s">
        <v>62</v>
      </c>
      <c r="F6" s="20" t="s">
        <v>63</v>
      </c>
      <c r="G6" s="20" t="s">
        <v>64</v>
      </c>
      <c r="H6" s="20" t="s">
        <v>65</v>
      </c>
      <c r="I6" s="20" t="s">
        <v>66</v>
      </c>
      <c r="J6" s="20" t="s">
        <v>67</v>
      </c>
      <c r="K6" s="20" t="s">
        <v>68</v>
      </c>
      <c r="L6" s="20" t="s">
        <v>69</v>
      </c>
      <c r="M6" s="6" t="s">
        <v>70</v>
      </c>
      <c r="N6" s="6" t="s">
        <v>71</v>
      </c>
    </row>
    <row r="7" spans="1:16" x14ac:dyDescent="0.25">
      <c r="A7" s="21">
        <v>1</v>
      </c>
      <c r="B7" s="22" t="s">
        <v>72</v>
      </c>
      <c r="C7" s="23" t="s">
        <v>2</v>
      </c>
      <c r="D7" s="24" t="s">
        <v>73</v>
      </c>
      <c r="E7" s="24" t="str">
        <f>IF(C7="Sí","Sí","No")</f>
        <v>No</v>
      </c>
      <c r="F7" s="24" t="str">
        <f>IF(C7="Sí","Sí","No")</f>
        <v>No</v>
      </c>
      <c r="G7" s="24" t="s">
        <v>2</v>
      </c>
      <c r="H7" s="24" t="str">
        <f>IF(C7="Sí","Sí","No")</f>
        <v>No</v>
      </c>
      <c r="I7" s="24" t="str">
        <f>IF(A7="Sí","Sí","No")</f>
        <v>No</v>
      </c>
      <c r="J7" s="24" t="s">
        <v>2</v>
      </c>
      <c r="K7" s="24" t="str">
        <f>IF(C7="Sí","Sí","No")</f>
        <v>No</v>
      </c>
      <c r="L7" s="25" t="s">
        <v>2</v>
      </c>
      <c r="M7" s="26">
        <v>42736</v>
      </c>
      <c r="N7" s="27"/>
      <c r="P7" s="69" t="s">
        <v>561</v>
      </c>
    </row>
    <row r="8" spans="1:16" x14ac:dyDescent="0.25">
      <c r="A8" s="21">
        <v>2</v>
      </c>
      <c r="B8" s="22" t="s">
        <v>74</v>
      </c>
      <c r="C8" s="23" t="s">
        <v>75</v>
      </c>
      <c r="D8" s="24" t="s">
        <v>73</v>
      </c>
      <c r="E8" s="24" t="s">
        <v>73</v>
      </c>
      <c r="F8" s="24" t="s">
        <v>73</v>
      </c>
      <c r="G8" s="24" t="s">
        <v>76</v>
      </c>
      <c r="H8" s="24" t="s">
        <v>73</v>
      </c>
      <c r="I8" s="24" t="s">
        <v>73</v>
      </c>
      <c r="J8" s="24" t="s">
        <v>77</v>
      </c>
      <c r="K8" s="24" t="s">
        <v>2</v>
      </c>
      <c r="L8" s="25" t="s">
        <v>78</v>
      </c>
      <c r="M8" s="28">
        <v>42736</v>
      </c>
      <c r="N8" s="29"/>
      <c r="P8" s="69" t="s">
        <v>562</v>
      </c>
    </row>
    <row r="9" spans="1:16" x14ac:dyDescent="0.25">
      <c r="A9" s="21">
        <v>3</v>
      </c>
      <c r="B9" s="22" t="s">
        <v>79</v>
      </c>
      <c r="C9" s="23" t="s">
        <v>75</v>
      </c>
      <c r="D9" s="24" t="s">
        <v>73</v>
      </c>
      <c r="E9" s="24" t="s">
        <v>73</v>
      </c>
      <c r="F9" s="24" t="s">
        <v>73</v>
      </c>
      <c r="G9" s="24" t="s">
        <v>80</v>
      </c>
      <c r="H9" s="24" t="s">
        <v>73</v>
      </c>
      <c r="I9" s="24" t="s">
        <v>73</v>
      </c>
      <c r="J9" s="24" t="s">
        <v>81</v>
      </c>
      <c r="K9" s="24" t="s">
        <v>73</v>
      </c>
      <c r="L9" s="25" t="s">
        <v>78</v>
      </c>
      <c r="M9" s="28">
        <v>42736</v>
      </c>
      <c r="N9" s="29"/>
      <c r="P9" s="69" t="s">
        <v>563</v>
      </c>
    </row>
    <row r="10" spans="1:16" x14ac:dyDescent="0.25">
      <c r="A10" s="21">
        <v>4</v>
      </c>
      <c r="B10" s="22" t="s">
        <v>82</v>
      </c>
      <c r="C10" s="23" t="s">
        <v>75</v>
      </c>
      <c r="D10" s="24" t="s">
        <v>73</v>
      </c>
      <c r="E10" s="24" t="s">
        <v>73</v>
      </c>
      <c r="F10" s="24" t="s">
        <v>73</v>
      </c>
      <c r="G10" s="24" t="s">
        <v>83</v>
      </c>
      <c r="H10" s="24" t="s">
        <v>73</v>
      </c>
      <c r="I10" s="24" t="s">
        <v>73</v>
      </c>
      <c r="J10" s="24" t="s">
        <v>77</v>
      </c>
      <c r="K10" s="24" t="s">
        <v>2</v>
      </c>
      <c r="L10" s="25" t="s">
        <v>78</v>
      </c>
      <c r="M10" s="28">
        <v>42736</v>
      </c>
      <c r="N10" s="29"/>
      <c r="P10" s="69" t="s">
        <v>564</v>
      </c>
    </row>
    <row r="11" spans="1:16" ht="27.6" x14ac:dyDescent="0.25">
      <c r="A11" s="21">
        <v>5</v>
      </c>
      <c r="B11" s="22" t="s">
        <v>84</v>
      </c>
      <c r="C11" s="23" t="s">
        <v>75</v>
      </c>
      <c r="D11" s="24" t="s">
        <v>73</v>
      </c>
      <c r="E11" s="24" t="s">
        <v>73</v>
      </c>
      <c r="F11" s="24" t="s">
        <v>73</v>
      </c>
      <c r="G11" s="30" t="s">
        <v>77</v>
      </c>
      <c r="H11" s="24" t="s">
        <v>73</v>
      </c>
      <c r="I11" s="24" t="s">
        <v>73</v>
      </c>
      <c r="J11" s="24" t="s">
        <v>77</v>
      </c>
      <c r="K11" s="24" t="s">
        <v>2</v>
      </c>
      <c r="L11" s="25" t="s">
        <v>2</v>
      </c>
      <c r="M11" s="28">
        <v>42736</v>
      </c>
      <c r="N11" s="29"/>
      <c r="P11" s="69" t="s">
        <v>565</v>
      </c>
    </row>
    <row r="12" spans="1:16" x14ac:dyDescent="0.25">
      <c r="A12" s="21">
        <v>6</v>
      </c>
      <c r="B12" s="22" t="s">
        <v>85</v>
      </c>
      <c r="C12" s="23" t="s">
        <v>75</v>
      </c>
      <c r="D12" s="24" t="s">
        <v>73</v>
      </c>
      <c r="E12" s="24" t="s">
        <v>73</v>
      </c>
      <c r="F12" s="24" t="s">
        <v>73</v>
      </c>
      <c r="G12" s="24" t="s">
        <v>86</v>
      </c>
      <c r="H12" s="24" t="s">
        <v>2</v>
      </c>
      <c r="I12" s="24" t="s">
        <v>2</v>
      </c>
      <c r="J12" s="24" t="s">
        <v>2</v>
      </c>
      <c r="K12" s="24" t="s">
        <v>2</v>
      </c>
      <c r="L12" s="25" t="s">
        <v>2</v>
      </c>
      <c r="M12" s="28">
        <v>42736</v>
      </c>
      <c r="N12" s="29"/>
      <c r="P12" s="69" t="s">
        <v>566</v>
      </c>
    </row>
    <row r="13" spans="1:16" x14ac:dyDescent="0.25">
      <c r="A13" s="21">
        <v>8</v>
      </c>
      <c r="B13" s="22" t="s">
        <v>87</v>
      </c>
      <c r="C13" s="23" t="s">
        <v>88</v>
      </c>
      <c r="D13" s="24" t="s">
        <v>73</v>
      </c>
      <c r="E13" s="24" t="str">
        <f>IF(C13="Sí","Sí","No")</f>
        <v>No</v>
      </c>
      <c r="F13" s="24" t="str">
        <f>IF(C13="Sí","Sí","No")</f>
        <v>No</v>
      </c>
      <c r="G13" s="24" t="s">
        <v>2</v>
      </c>
      <c r="H13" s="24" t="str">
        <f>IF(C13="Sí","Sí","No")</f>
        <v>No</v>
      </c>
      <c r="I13" s="24" t="str">
        <f>IF(A13="Sí","Sí","No")</f>
        <v>No</v>
      </c>
      <c r="J13" s="24" t="s">
        <v>2</v>
      </c>
      <c r="K13" s="24" t="str">
        <f>IF(C13="Sí","Sí","No")</f>
        <v>No</v>
      </c>
      <c r="L13" s="25" t="s">
        <v>2</v>
      </c>
      <c r="M13" s="28">
        <v>42736</v>
      </c>
      <c r="N13" s="29"/>
      <c r="P13" s="69" t="s">
        <v>567</v>
      </c>
    </row>
    <row r="14" spans="1:16" x14ac:dyDescent="0.25">
      <c r="A14" s="31">
        <v>12</v>
      </c>
      <c r="B14" s="22" t="s">
        <v>89</v>
      </c>
      <c r="C14" s="23" t="s">
        <v>2</v>
      </c>
      <c r="D14" s="24" t="s">
        <v>73</v>
      </c>
      <c r="E14" s="24" t="str">
        <f t="shared" ref="E14:E23" si="0">IF(C14="Sí","Sí","No")</f>
        <v>No</v>
      </c>
      <c r="F14" s="24" t="str">
        <f t="shared" ref="F14:F23" si="1">IF(C14="Sí","Sí","No")</f>
        <v>No</v>
      </c>
      <c r="G14" s="24" t="s">
        <v>2</v>
      </c>
      <c r="H14" s="24" t="str">
        <f t="shared" ref="H14:H23" si="2">IF(C14="Sí","Sí","No")</f>
        <v>No</v>
      </c>
      <c r="I14" s="24" t="str">
        <f t="shared" ref="I14:I23" si="3">IF(A14="Sí","Sí","No")</f>
        <v>No</v>
      </c>
      <c r="J14" s="24" t="s">
        <v>2</v>
      </c>
      <c r="K14" s="24" t="str">
        <f t="shared" ref="K14:K23" si="4">IF(C14="Sí","Sí","No")</f>
        <v>No</v>
      </c>
      <c r="L14" s="25" t="s">
        <v>2</v>
      </c>
      <c r="M14" s="28">
        <v>42736</v>
      </c>
      <c r="N14" s="29"/>
      <c r="P14" s="69" t="s">
        <v>568</v>
      </c>
    </row>
    <row r="15" spans="1:16" x14ac:dyDescent="0.25">
      <c r="A15" s="31">
        <v>13</v>
      </c>
      <c r="B15" s="22" t="s">
        <v>90</v>
      </c>
      <c r="C15" s="23" t="s">
        <v>2</v>
      </c>
      <c r="D15" s="24" t="s">
        <v>73</v>
      </c>
      <c r="E15" s="24" t="str">
        <f t="shared" si="0"/>
        <v>No</v>
      </c>
      <c r="F15" s="24" t="str">
        <f t="shared" si="1"/>
        <v>No</v>
      </c>
      <c r="G15" s="24" t="s">
        <v>2</v>
      </c>
      <c r="H15" s="24" t="str">
        <f t="shared" si="2"/>
        <v>No</v>
      </c>
      <c r="I15" s="24" t="str">
        <f t="shared" si="3"/>
        <v>No</v>
      </c>
      <c r="J15" s="24" t="s">
        <v>2</v>
      </c>
      <c r="K15" s="24" t="str">
        <f t="shared" si="4"/>
        <v>No</v>
      </c>
      <c r="L15" s="25" t="s">
        <v>2</v>
      </c>
      <c r="M15" s="28">
        <v>42736</v>
      </c>
      <c r="N15" s="29"/>
      <c r="P15" s="69" t="s">
        <v>569</v>
      </c>
    </row>
    <row r="16" spans="1:16" x14ac:dyDescent="0.25">
      <c r="A16" s="31">
        <v>14</v>
      </c>
      <c r="B16" s="22" t="s">
        <v>91</v>
      </c>
      <c r="C16" s="23" t="s">
        <v>2</v>
      </c>
      <c r="D16" s="24" t="s">
        <v>73</v>
      </c>
      <c r="E16" s="24" t="str">
        <f t="shared" si="0"/>
        <v>No</v>
      </c>
      <c r="F16" s="24" t="str">
        <f t="shared" si="1"/>
        <v>No</v>
      </c>
      <c r="G16" s="24" t="s">
        <v>2</v>
      </c>
      <c r="H16" s="24" t="str">
        <f t="shared" si="2"/>
        <v>No</v>
      </c>
      <c r="I16" s="24" t="str">
        <f t="shared" si="3"/>
        <v>No</v>
      </c>
      <c r="J16" s="24" t="s">
        <v>2</v>
      </c>
      <c r="K16" s="24" t="str">
        <f t="shared" si="4"/>
        <v>No</v>
      </c>
      <c r="L16" s="25" t="s">
        <v>2</v>
      </c>
      <c r="M16" s="28">
        <v>42736</v>
      </c>
      <c r="N16" s="29"/>
      <c r="P16" s="69" t="s">
        <v>570</v>
      </c>
    </row>
    <row r="17" spans="1:16" x14ac:dyDescent="0.25">
      <c r="A17" s="31">
        <v>15</v>
      </c>
      <c r="B17" s="22" t="s">
        <v>92</v>
      </c>
      <c r="C17" s="23" t="s">
        <v>2</v>
      </c>
      <c r="D17" s="24" t="s">
        <v>73</v>
      </c>
      <c r="E17" s="24" t="str">
        <f t="shared" si="0"/>
        <v>No</v>
      </c>
      <c r="F17" s="24" t="str">
        <f t="shared" si="1"/>
        <v>No</v>
      </c>
      <c r="G17" s="24" t="s">
        <v>2</v>
      </c>
      <c r="H17" s="24" t="str">
        <f t="shared" si="2"/>
        <v>No</v>
      </c>
      <c r="I17" s="24" t="str">
        <f t="shared" si="3"/>
        <v>No</v>
      </c>
      <c r="J17" s="24" t="s">
        <v>2</v>
      </c>
      <c r="K17" s="24" t="str">
        <f t="shared" si="4"/>
        <v>No</v>
      </c>
      <c r="L17" s="25" t="s">
        <v>2</v>
      </c>
      <c r="M17" s="28">
        <v>42736</v>
      </c>
      <c r="N17" s="29"/>
      <c r="P17" s="69" t="s">
        <v>571</v>
      </c>
    </row>
    <row r="18" spans="1:16" x14ac:dyDescent="0.25">
      <c r="A18" s="31">
        <v>17</v>
      </c>
      <c r="B18" s="22" t="s">
        <v>93</v>
      </c>
      <c r="C18" s="23" t="s">
        <v>2</v>
      </c>
      <c r="D18" s="24" t="s">
        <v>73</v>
      </c>
      <c r="E18" s="24" t="str">
        <f t="shared" si="0"/>
        <v>No</v>
      </c>
      <c r="F18" s="24" t="str">
        <f t="shared" si="1"/>
        <v>No</v>
      </c>
      <c r="G18" s="24" t="s">
        <v>2</v>
      </c>
      <c r="H18" s="24" t="str">
        <f t="shared" si="2"/>
        <v>No</v>
      </c>
      <c r="I18" s="24" t="str">
        <f t="shared" si="3"/>
        <v>No</v>
      </c>
      <c r="J18" s="24" t="s">
        <v>2</v>
      </c>
      <c r="K18" s="24" t="str">
        <f t="shared" si="4"/>
        <v>No</v>
      </c>
      <c r="L18" s="25" t="s">
        <v>2</v>
      </c>
      <c r="M18" s="28">
        <v>42736</v>
      </c>
      <c r="N18" s="29"/>
      <c r="P18" s="69" t="s">
        <v>572</v>
      </c>
    </row>
    <row r="19" spans="1:16" x14ac:dyDescent="0.25">
      <c r="A19" s="31">
        <v>23</v>
      </c>
      <c r="B19" s="22" t="s">
        <v>94</v>
      </c>
      <c r="C19" s="23" t="s">
        <v>2</v>
      </c>
      <c r="D19" s="24" t="s">
        <v>73</v>
      </c>
      <c r="E19" s="24" t="str">
        <f t="shared" si="0"/>
        <v>No</v>
      </c>
      <c r="F19" s="24" t="str">
        <f t="shared" si="1"/>
        <v>No</v>
      </c>
      <c r="G19" s="24" t="s">
        <v>2</v>
      </c>
      <c r="H19" s="24" t="str">
        <f t="shared" si="2"/>
        <v>No</v>
      </c>
      <c r="I19" s="24" t="str">
        <f t="shared" si="3"/>
        <v>No</v>
      </c>
      <c r="J19" s="24" t="s">
        <v>2</v>
      </c>
      <c r="K19" s="24" t="str">
        <f t="shared" si="4"/>
        <v>No</v>
      </c>
      <c r="L19" s="25" t="s">
        <v>2</v>
      </c>
      <c r="M19" s="28">
        <v>42736</v>
      </c>
      <c r="N19" s="29"/>
      <c r="P19" s="69" t="s">
        <v>573</v>
      </c>
    </row>
    <row r="20" spans="1:16" x14ac:dyDescent="0.25">
      <c r="A20" s="31">
        <v>24</v>
      </c>
      <c r="B20" s="22" t="s">
        <v>95</v>
      </c>
      <c r="C20" s="23" t="s">
        <v>2</v>
      </c>
      <c r="D20" s="24" t="s">
        <v>73</v>
      </c>
      <c r="E20" s="24" t="str">
        <f t="shared" si="0"/>
        <v>No</v>
      </c>
      <c r="F20" s="24" t="str">
        <f t="shared" si="1"/>
        <v>No</v>
      </c>
      <c r="G20" s="24" t="s">
        <v>2</v>
      </c>
      <c r="H20" s="24" t="str">
        <f t="shared" si="2"/>
        <v>No</v>
      </c>
      <c r="I20" s="24" t="str">
        <f t="shared" si="3"/>
        <v>No</v>
      </c>
      <c r="J20" s="24" t="s">
        <v>2</v>
      </c>
      <c r="K20" s="24" t="str">
        <f t="shared" si="4"/>
        <v>No</v>
      </c>
      <c r="L20" s="25" t="s">
        <v>2</v>
      </c>
      <c r="M20" s="28">
        <v>42736</v>
      </c>
      <c r="N20" s="29"/>
      <c r="P20" s="69" t="s">
        <v>574</v>
      </c>
    </row>
    <row r="21" spans="1:16" x14ac:dyDescent="0.25">
      <c r="A21" s="31">
        <v>25</v>
      </c>
      <c r="B21" s="22" t="s">
        <v>96</v>
      </c>
      <c r="C21" s="23" t="s">
        <v>2</v>
      </c>
      <c r="D21" s="24" t="s">
        <v>73</v>
      </c>
      <c r="E21" s="24" t="str">
        <f t="shared" si="0"/>
        <v>No</v>
      </c>
      <c r="F21" s="24" t="str">
        <f t="shared" si="1"/>
        <v>No</v>
      </c>
      <c r="G21" s="24" t="s">
        <v>2</v>
      </c>
      <c r="H21" s="24" t="str">
        <f t="shared" si="2"/>
        <v>No</v>
      </c>
      <c r="I21" s="24" t="str">
        <f t="shared" si="3"/>
        <v>No</v>
      </c>
      <c r="J21" s="24" t="s">
        <v>2</v>
      </c>
      <c r="K21" s="24" t="str">
        <f t="shared" si="4"/>
        <v>No</v>
      </c>
      <c r="L21" s="25" t="s">
        <v>2</v>
      </c>
      <c r="M21" s="28">
        <v>42736</v>
      </c>
      <c r="N21" s="29"/>
      <c r="P21" s="69" t="s">
        <v>575</v>
      </c>
    </row>
    <row r="22" spans="1:16" x14ac:dyDescent="0.25">
      <c r="A22" s="31">
        <v>26</v>
      </c>
      <c r="B22" s="22" t="s">
        <v>97</v>
      </c>
      <c r="C22" s="23" t="s">
        <v>2</v>
      </c>
      <c r="D22" s="24" t="s">
        <v>73</v>
      </c>
      <c r="E22" s="24" t="str">
        <f t="shared" si="0"/>
        <v>No</v>
      </c>
      <c r="F22" s="24" t="str">
        <f t="shared" si="1"/>
        <v>No</v>
      </c>
      <c r="G22" s="24" t="s">
        <v>2</v>
      </c>
      <c r="H22" s="24" t="str">
        <f t="shared" si="2"/>
        <v>No</v>
      </c>
      <c r="I22" s="24" t="str">
        <f t="shared" si="3"/>
        <v>No</v>
      </c>
      <c r="J22" s="24" t="s">
        <v>2</v>
      </c>
      <c r="K22" s="24" t="str">
        <f t="shared" si="4"/>
        <v>No</v>
      </c>
      <c r="L22" s="25" t="s">
        <v>2</v>
      </c>
      <c r="M22" s="28">
        <v>42736</v>
      </c>
      <c r="N22" s="29"/>
      <c r="P22" s="69" t="s">
        <v>576</v>
      </c>
    </row>
    <row r="23" spans="1:16" x14ac:dyDescent="0.25">
      <c r="A23" s="31">
        <v>27</v>
      </c>
      <c r="B23" s="22" t="s">
        <v>98</v>
      </c>
      <c r="C23" s="23" t="s">
        <v>2</v>
      </c>
      <c r="D23" s="24" t="s">
        <v>73</v>
      </c>
      <c r="E23" s="24" t="str">
        <f t="shared" si="0"/>
        <v>No</v>
      </c>
      <c r="F23" s="24" t="str">
        <f t="shared" si="1"/>
        <v>No</v>
      </c>
      <c r="G23" s="24" t="s">
        <v>2</v>
      </c>
      <c r="H23" s="24" t="str">
        <f t="shared" si="2"/>
        <v>No</v>
      </c>
      <c r="I23" s="24" t="str">
        <f t="shared" si="3"/>
        <v>No</v>
      </c>
      <c r="J23" s="24" t="s">
        <v>2</v>
      </c>
      <c r="K23" s="24" t="str">
        <f t="shared" si="4"/>
        <v>No</v>
      </c>
      <c r="L23" s="25" t="s">
        <v>2</v>
      </c>
      <c r="M23" s="28">
        <v>42736</v>
      </c>
      <c r="N23" s="29"/>
      <c r="P23" s="69" t="s">
        <v>577</v>
      </c>
    </row>
    <row r="24" spans="1:16" x14ac:dyDescent="0.25">
      <c r="A24" s="31">
        <v>28</v>
      </c>
      <c r="B24" s="22" t="s">
        <v>99</v>
      </c>
      <c r="C24" s="23" t="s">
        <v>75</v>
      </c>
      <c r="D24" s="24" t="s">
        <v>73</v>
      </c>
      <c r="E24" s="24" t="s">
        <v>73</v>
      </c>
      <c r="F24" s="24" t="s">
        <v>73</v>
      </c>
      <c r="G24" s="24" t="s">
        <v>83</v>
      </c>
      <c r="H24" s="24" t="s">
        <v>73</v>
      </c>
      <c r="I24" s="24" t="s">
        <v>73</v>
      </c>
      <c r="J24" s="24" t="s">
        <v>77</v>
      </c>
      <c r="K24" s="24" t="s">
        <v>2</v>
      </c>
      <c r="L24" s="25" t="s">
        <v>78</v>
      </c>
      <c r="M24" s="28">
        <v>42736</v>
      </c>
      <c r="N24" s="29"/>
      <c r="P24" s="69" t="s">
        <v>578</v>
      </c>
    </row>
    <row r="25" spans="1:16" x14ac:dyDescent="0.25">
      <c r="A25" s="31">
        <v>29</v>
      </c>
      <c r="B25" s="22" t="s">
        <v>100</v>
      </c>
      <c r="C25" s="23" t="s">
        <v>75</v>
      </c>
      <c r="D25" s="24" t="s">
        <v>73</v>
      </c>
      <c r="E25" s="24" t="s">
        <v>73</v>
      </c>
      <c r="F25" s="24" t="s">
        <v>73</v>
      </c>
      <c r="G25" s="24" t="s">
        <v>101</v>
      </c>
      <c r="H25" s="24" t="s">
        <v>73</v>
      </c>
      <c r="I25" s="24" t="s">
        <v>73</v>
      </c>
      <c r="J25" s="24" t="s">
        <v>77</v>
      </c>
      <c r="K25" s="24" t="s">
        <v>2</v>
      </c>
      <c r="L25" s="25" t="s">
        <v>78</v>
      </c>
      <c r="M25" s="28">
        <v>42736</v>
      </c>
      <c r="N25" s="29"/>
      <c r="P25" s="69" t="s">
        <v>579</v>
      </c>
    </row>
    <row r="26" spans="1:16" x14ac:dyDescent="0.25">
      <c r="A26" s="31">
        <v>30</v>
      </c>
      <c r="B26" s="22" t="s">
        <v>102</v>
      </c>
      <c r="C26" s="23" t="s">
        <v>2</v>
      </c>
      <c r="D26" s="24" t="s">
        <v>73</v>
      </c>
      <c r="E26" s="24" t="s">
        <v>2</v>
      </c>
      <c r="F26" s="24" t="s">
        <v>2</v>
      </c>
      <c r="G26" s="24" t="s">
        <v>2</v>
      </c>
      <c r="H26" s="24" t="s">
        <v>2</v>
      </c>
      <c r="I26" s="24" t="s">
        <v>2</v>
      </c>
      <c r="J26" s="24" t="s">
        <v>2</v>
      </c>
      <c r="K26" s="24" t="s">
        <v>2</v>
      </c>
      <c r="L26" s="32" t="s">
        <v>2</v>
      </c>
      <c r="M26" s="28">
        <v>42943</v>
      </c>
      <c r="N26" s="29"/>
      <c r="P26" s="69" t="s">
        <v>580</v>
      </c>
    </row>
    <row r="27" spans="1:16" x14ac:dyDescent="0.25">
      <c r="A27" s="31">
        <v>99</v>
      </c>
      <c r="B27" s="33" t="s">
        <v>103</v>
      </c>
      <c r="C27" s="23" t="s">
        <v>73</v>
      </c>
      <c r="D27" s="23" t="s">
        <v>73</v>
      </c>
      <c r="E27" s="23" t="s">
        <v>73</v>
      </c>
      <c r="F27" s="23" t="s">
        <v>73</v>
      </c>
      <c r="G27" s="23" t="s">
        <v>73</v>
      </c>
      <c r="H27" s="23" t="s">
        <v>73</v>
      </c>
      <c r="I27" s="23" t="s">
        <v>73</v>
      </c>
      <c r="J27" s="23" t="s">
        <v>73</v>
      </c>
      <c r="K27" s="23" t="s">
        <v>73</v>
      </c>
      <c r="L27" s="22" t="s">
        <v>73</v>
      </c>
      <c r="M27" s="28">
        <v>42736</v>
      </c>
      <c r="N27" s="29"/>
      <c r="P27" s="69" t="s">
        <v>581</v>
      </c>
    </row>
    <row r="28" spans="1:16" x14ac:dyDescent="0.25">
      <c r="A28" s="34"/>
      <c r="B28" s="35"/>
    </row>
    <row r="29" spans="1:16" x14ac:dyDescent="0.25">
      <c r="A29" s="34"/>
    </row>
    <row r="30" spans="1:16" x14ac:dyDescent="0.25">
      <c r="A30" s="34"/>
    </row>
    <row r="31" spans="1:16" x14ac:dyDescent="0.25">
      <c r="A31" s="34"/>
    </row>
    <row r="32" spans="1:16" x14ac:dyDescent="0.25">
      <c r="A32" s="34"/>
    </row>
    <row r="33" spans="1:1" x14ac:dyDescent="0.25">
      <c r="A33" s="34"/>
    </row>
    <row r="34" spans="1:1" x14ac:dyDescent="0.25">
      <c r="A34" s="34"/>
    </row>
    <row r="35" spans="1:1" x14ac:dyDescent="0.25">
      <c r="A35" s="34"/>
    </row>
    <row r="36" spans="1:1" x14ac:dyDescent="0.25">
      <c r="A36" s="34"/>
    </row>
  </sheetData>
  <mergeCells count="2">
    <mergeCell ref="A2:C2"/>
    <mergeCell ref="G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D63A-AE1A-4961-AD89-1B887A8230F6}">
  <sheetPr codeName="Hoja6"/>
  <dimension ref="A1:H8"/>
  <sheetViews>
    <sheetView workbookViewId="0">
      <selection activeCell="H34" sqref="H34"/>
    </sheetView>
  </sheetViews>
  <sheetFormatPr baseColWidth="10" defaultColWidth="11.44140625" defaultRowHeight="13.8" x14ac:dyDescent="0.25"/>
  <cols>
    <col min="1" max="1" width="26" style="12" customWidth="1"/>
    <col min="2" max="2" width="25.44140625" style="10" customWidth="1"/>
    <col min="3" max="4" width="11.44140625" style="10"/>
    <col min="5" max="5" width="22.44140625" style="10" customWidth="1"/>
    <col min="6" max="6" width="17" style="10" customWidth="1"/>
    <col min="7" max="16384" width="11.44140625" style="10"/>
  </cols>
  <sheetData>
    <row r="1" spans="1:8" ht="14.4" thickBot="1" x14ac:dyDescent="0.3">
      <c r="A1" s="125" t="s">
        <v>104</v>
      </c>
      <c r="B1" s="125"/>
      <c r="C1" s="125"/>
    </row>
    <row r="2" spans="1:8" ht="14.4" thickBot="1" x14ac:dyDescent="0.3">
      <c r="A2" s="6" t="s">
        <v>70</v>
      </c>
      <c r="B2" s="6" t="s">
        <v>71</v>
      </c>
      <c r="C2" s="6" t="s">
        <v>29</v>
      </c>
      <c r="D2" s="6" t="s">
        <v>30</v>
      </c>
    </row>
    <row r="3" spans="1:8" x14ac:dyDescent="0.25">
      <c r="A3" s="26">
        <v>42736</v>
      </c>
      <c r="B3" s="27"/>
      <c r="C3" s="7">
        <v>1</v>
      </c>
      <c r="D3" s="8">
        <v>0</v>
      </c>
    </row>
    <row r="4" spans="1:8" ht="14.4" thickBot="1" x14ac:dyDescent="0.3"/>
    <row r="5" spans="1:8" ht="27.6" x14ac:dyDescent="0.25">
      <c r="A5" s="20" t="s">
        <v>105</v>
      </c>
      <c r="B5" s="20" t="s">
        <v>31</v>
      </c>
      <c r="C5" s="20" t="s">
        <v>106</v>
      </c>
      <c r="D5" s="20" t="s">
        <v>107</v>
      </c>
      <c r="E5" s="20" t="s">
        <v>108</v>
      </c>
      <c r="F5" s="20" t="s">
        <v>109</v>
      </c>
    </row>
    <row r="6" spans="1:8" x14ac:dyDescent="0.25">
      <c r="A6" s="36">
        <v>1</v>
      </c>
      <c r="B6" s="29" t="s">
        <v>110</v>
      </c>
      <c r="C6" s="30" t="s">
        <v>111</v>
      </c>
      <c r="D6" s="30" t="s">
        <v>2</v>
      </c>
      <c r="E6" s="30" t="s">
        <v>112</v>
      </c>
      <c r="F6" s="30"/>
    </row>
    <row r="7" spans="1:8" x14ac:dyDescent="0.25">
      <c r="A7" s="36">
        <v>2</v>
      </c>
      <c r="B7" s="29" t="s">
        <v>5</v>
      </c>
      <c r="C7" s="30" t="s">
        <v>111</v>
      </c>
      <c r="D7" s="30" t="s">
        <v>111</v>
      </c>
      <c r="E7" s="30" t="s">
        <v>112</v>
      </c>
      <c r="F7" s="30"/>
      <c r="H7" s="10" t="s">
        <v>14</v>
      </c>
    </row>
    <row r="8" spans="1:8" x14ac:dyDescent="0.25">
      <c r="A8" s="36">
        <v>3</v>
      </c>
      <c r="B8" s="29" t="s">
        <v>113</v>
      </c>
      <c r="C8" s="30" t="s">
        <v>111</v>
      </c>
      <c r="D8" s="30" t="s">
        <v>111</v>
      </c>
      <c r="E8" s="30" t="s">
        <v>112</v>
      </c>
      <c r="F8" s="30"/>
      <c r="H8" s="10" t="s">
        <v>582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8A732-D002-4CF0-A506-C0246E54B694}">
  <sheetPr codeName="Hoja7"/>
  <dimension ref="A2:F8"/>
  <sheetViews>
    <sheetView workbookViewId="0">
      <selection activeCell="H34" sqref="H34"/>
    </sheetView>
  </sheetViews>
  <sheetFormatPr baseColWidth="10" defaultColWidth="11.44140625" defaultRowHeight="13.8" x14ac:dyDescent="0.25"/>
  <cols>
    <col min="1" max="1" width="28.88671875" style="10" customWidth="1"/>
    <col min="2" max="2" width="33.109375" style="10" bestFit="1" customWidth="1"/>
    <col min="3" max="3" width="25.109375" style="10" customWidth="1"/>
    <col min="4" max="4" width="19" style="10" customWidth="1"/>
    <col min="5" max="5" width="11.44140625" style="10"/>
    <col min="6" max="6" width="38.6640625" style="10" customWidth="1"/>
    <col min="7" max="16384" width="11.44140625" style="10"/>
  </cols>
  <sheetData>
    <row r="2" spans="1:6" ht="14.4" thickBot="1" x14ac:dyDescent="0.3">
      <c r="A2" s="125" t="s">
        <v>114</v>
      </c>
      <c r="B2" s="125"/>
    </row>
    <row r="3" spans="1:6" ht="14.4" thickBot="1" x14ac:dyDescent="0.3">
      <c r="A3" s="6" t="s">
        <v>29</v>
      </c>
      <c r="B3" s="6" t="s">
        <v>30</v>
      </c>
    </row>
    <row r="4" spans="1:6" x14ac:dyDescent="0.25">
      <c r="A4" s="7">
        <v>2</v>
      </c>
      <c r="B4" s="8">
        <v>0</v>
      </c>
    </row>
    <row r="5" spans="1:6" ht="14.4" thickBot="1" x14ac:dyDescent="0.3"/>
    <row r="6" spans="1:6" ht="28.2" thickBot="1" x14ac:dyDescent="0.3">
      <c r="A6" s="37" t="s">
        <v>115</v>
      </c>
      <c r="B6" s="37" t="s">
        <v>31</v>
      </c>
      <c r="C6" s="6" t="s">
        <v>70</v>
      </c>
      <c r="D6" s="6" t="s">
        <v>71</v>
      </c>
    </row>
    <row r="7" spans="1:6" x14ac:dyDescent="0.25">
      <c r="A7" s="21" t="s">
        <v>116</v>
      </c>
      <c r="B7" s="22" t="s">
        <v>117</v>
      </c>
      <c r="C7" s="26">
        <v>42736</v>
      </c>
      <c r="D7" s="27"/>
      <c r="F7" s="68" t="s">
        <v>559</v>
      </c>
    </row>
    <row r="8" spans="1:6" x14ac:dyDescent="0.25">
      <c r="A8" s="21" t="s">
        <v>118</v>
      </c>
      <c r="B8" s="22" t="s">
        <v>119</v>
      </c>
      <c r="C8" s="38">
        <v>42736</v>
      </c>
      <c r="D8" s="24"/>
      <c r="F8" s="68" t="s">
        <v>560</v>
      </c>
    </row>
  </sheetData>
  <mergeCells count="1"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253C-8939-4FDA-BB2C-6D7035F02ABA}">
  <sheetPr codeName="Hoja8"/>
  <dimension ref="A1:F183"/>
  <sheetViews>
    <sheetView workbookViewId="0">
      <selection activeCell="H34" sqref="H34"/>
    </sheetView>
  </sheetViews>
  <sheetFormatPr baseColWidth="10" defaultColWidth="11.44140625" defaultRowHeight="13.8" x14ac:dyDescent="0.25"/>
  <cols>
    <col min="1" max="1" width="25" style="10" customWidth="1"/>
    <col min="2" max="2" width="97.33203125" style="39" customWidth="1"/>
    <col min="3" max="3" width="12.33203125" style="10" customWidth="1"/>
    <col min="4" max="4" width="26.6640625" style="10" customWidth="1"/>
    <col min="5" max="5" width="11.44140625" style="10"/>
    <col min="6" max="6" width="23.44140625" style="10" bestFit="1" customWidth="1"/>
    <col min="7" max="7" width="46.44140625" style="10" customWidth="1"/>
    <col min="8" max="8" width="32.88671875" style="10" customWidth="1"/>
    <col min="9" max="16384" width="11.44140625" style="10"/>
  </cols>
  <sheetData>
    <row r="1" spans="1:6" ht="14.4" thickBot="1" x14ac:dyDescent="0.3">
      <c r="A1" s="128" t="s">
        <v>120</v>
      </c>
      <c r="B1" s="128"/>
    </row>
    <row r="2" spans="1:6" ht="14.4" thickBot="1" x14ac:dyDescent="0.3">
      <c r="A2" s="6" t="s">
        <v>70</v>
      </c>
      <c r="B2" s="6" t="s">
        <v>71</v>
      </c>
      <c r="C2" s="6" t="s">
        <v>29</v>
      </c>
      <c r="D2" s="6" t="s">
        <v>30</v>
      </c>
    </row>
    <row r="3" spans="1:6" x14ac:dyDescent="0.25">
      <c r="A3" s="26">
        <v>42736</v>
      </c>
      <c r="B3" s="27"/>
      <c r="C3" s="7">
        <v>1</v>
      </c>
      <c r="D3" s="8">
        <v>0</v>
      </c>
    </row>
    <row r="4" spans="1:6" ht="14.4" thickBot="1" x14ac:dyDescent="0.3"/>
    <row r="5" spans="1:6" x14ac:dyDescent="0.25">
      <c r="A5" s="20" t="s">
        <v>121</v>
      </c>
      <c r="B5" s="18" t="s">
        <v>31</v>
      </c>
      <c r="C5" s="20" t="s">
        <v>122</v>
      </c>
      <c r="D5" s="40" t="s">
        <v>123</v>
      </c>
    </row>
    <row r="6" spans="1:6" x14ac:dyDescent="0.25">
      <c r="A6" s="41" t="s">
        <v>124</v>
      </c>
      <c r="B6" s="42" t="s">
        <v>125</v>
      </c>
      <c r="C6" s="41" t="s">
        <v>126</v>
      </c>
      <c r="D6" s="43">
        <v>0.35274244523672377</v>
      </c>
      <c r="F6" s="67" t="s">
        <v>557</v>
      </c>
    </row>
    <row r="7" spans="1:6" x14ac:dyDescent="0.25">
      <c r="A7" s="41" t="s">
        <v>127</v>
      </c>
      <c r="B7" s="42" t="s">
        <v>128</v>
      </c>
      <c r="C7" s="41" t="s">
        <v>126</v>
      </c>
      <c r="D7" s="43">
        <v>0.35274244523672382</v>
      </c>
      <c r="F7" s="67" t="s">
        <v>558</v>
      </c>
    </row>
    <row r="8" spans="1:6" x14ac:dyDescent="0.25">
      <c r="A8" s="41" t="s">
        <v>129</v>
      </c>
      <c r="B8" s="42" t="s">
        <v>130</v>
      </c>
      <c r="C8" s="41" t="s">
        <v>126</v>
      </c>
      <c r="D8" s="43">
        <v>0.35274244523672382</v>
      </c>
    </row>
    <row r="9" spans="1:6" x14ac:dyDescent="0.25">
      <c r="A9" s="41" t="s">
        <v>131</v>
      </c>
      <c r="B9" s="42" t="s">
        <v>132</v>
      </c>
      <c r="C9" s="41" t="s">
        <v>126</v>
      </c>
      <c r="D9" s="43">
        <v>0.35274244523672382</v>
      </c>
    </row>
    <row r="10" spans="1:6" x14ac:dyDescent="0.25">
      <c r="A10" s="41" t="s">
        <v>133</v>
      </c>
      <c r="B10" s="42" t="s">
        <v>134</v>
      </c>
      <c r="C10" s="41" t="s">
        <v>126</v>
      </c>
      <c r="D10" s="43">
        <v>0.35274244523672382</v>
      </c>
    </row>
    <row r="11" spans="1:6" x14ac:dyDescent="0.25">
      <c r="A11" s="41" t="s">
        <v>135</v>
      </c>
      <c r="B11" s="42" t="s">
        <v>136</v>
      </c>
      <c r="C11" s="41" t="s">
        <v>126</v>
      </c>
      <c r="D11" s="43">
        <v>0.35274244523672382</v>
      </c>
    </row>
    <row r="12" spans="1:6" x14ac:dyDescent="0.25">
      <c r="A12" s="41" t="s">
        <v>137</v>
      </c>
      <c r="B12" s="42" t="s">
        <v>138</v>
      </c>
      <c r="C12" s="41" t="s">
        <v>126</v>
      </c>
      <c r="D12" s="43">
        <v>0.62972177265132079</v>
      </c>
    </row>
    <row r="13" spans="1:6" x14ac:dyDescent="0.25">
      <c r="A13" s="41" t="s">
        <v>139</v>
      </c>
      <c r="B13" s="42" t="s">
        <v>140</v>
      </c>
      <c r="C13" s="41" t="s">
        <v>126</v>
      </c>
      <c r="D13" s="43">
        <v>0.43690120915914099</v>
      </c>
    </row>
    <row r="14" spans="1:6" x14ac:dyDescent="0.25">
      <c r="A14" s="41" t="s">
        <v>32</v>
      </c>
      <c r="B14" s="42" t="s">
        <v>141</v>
      </c>
      <c r="C14" s="41" t="s">
        <v>126</v>
      </c>
      <c r="D14" s="43">
        <v>0.35274244523672382</v>
      </c>
    </row>
    <row r="15" spans="1:6" x14ac:dyDescent="0.25">
      <c r="A15" s="41" t="s">
        <v>142</v>
      </c>
      <c r="B15" s="42" t="s">
        <v>143</v>
      </c>
      <c r="C15" s="41" t="s">
        <v>126</v>
      </c>
      <c r="D15" s="43">
        <v>0.35274244523672382</v>
      </c>
    </row>
    <row r="16" spans="1:6" x14ac:dyDescent="0.25">
      <c r="A16" s="41" t="s">
        <v>144</v>
      </c>
      <c r="B16" s="42" t="s">
        <v>145</v>
      </c>
      <c r="C16" s="41" t="s">
        <v>126</v>
      </c>
      <c r="D16" s="43">
        <v>0.35274244523672382</v>
      </c>
    </row>
    <row r="17" spans="1:4" x14ac:dyDescent="0.25">
      <c r="A17" s="41" t="s">
        <v>146</v>
      </c>
      <c r="B17" s="42" t="s">
        <v>147</v>
      </c>
      <c r="C17" s="41" t="s">
        <v>126</v>
      </c>
      <c r="D17" s="43">
        <v>0.35274244523672382</v>
      </c>
    </row>
    <row r="18" spans="1:4" x14ac:dyDescent="0.25">
      <c r="A18" s="41" t="s">
        <v>148</v>
      </c>
      <c r="B18" s="42" t="s">
        <v>149</v>
      </c>
      <c r="C18" s="41" t="s">
        <v>126</v>
      </c>
      <c r="D18" s="43">
        <v>0.35274244523672382</v>
      </c>
    </row>
    <row r="19" spans="1:4" x14ac:dyDescent="0.25">
      <c r="A19" s="41" t="s">
        <v>150</v>
      </c>
      <c r="B19" s="42" t="s">
        <v>151</v>
      </c>
      <c r="C19" s="41" t="s">
        <v>126</v>
      </c>
      <c r="D19" s="43">
        <v>0.35274244523672382</v>
      </c>
    </row>
    <row r="20" spans="1:4" x14ac:dyDescent="0.25">
      <c r="A20" s="41" t="s">
        <v>152</v>
      </c>
      <c r="B20" s="42" t="s">
        <v>153</v>
      </c>
      <c r="C20" s="41" t="s">
        <v>154</v>
      </c>
      <c r="D20" s="43">
        <v>0.35274244523672382</v>
      </c>
    </row>
    <row r="21" spans="1:4" x14ac:dyDescent="0.25">
      <c r="A21" s="41" t="s">
        <v>155</v>
      </c>
      <c r="B21" s="42" t="s">
        <v>156</v>
      </c>
      <c r="C21" s="41" t="s">
        <v>157</v>
      </c>
      <c r="D21" s="43">
        <v>0.35274244523672382</v>
      </c>
    </row>
    <row r="22" spans="1:4" x14ac:dyDescent="0.25">
      <c r="A22" s="41" t="s">
        <v>158</v>
      </c>
      <c r="B22" s="42" t="s">
        <v>159</v>
      </c>
      <c r="C22" s="41" t="s">
        <v>126</v>
      </c>
      <c r="D22" s="43">
        <v>0.35274244523672382</v>
      </c>
    </row>
    <row r="23" spans="1:4" x14ac:dyDescent="0.25">
      <c r="A23" s="41" t="s">
        <v>160</v>
      </c>
      <c r="B23" s="42" t="s">
        <v>161</v>
      </c>
      <c r="C23" s="41" t="s">
        <v>126</v>
      </c>
      <c r="D23" s="43">
        <v>0.35274244523672382</v>
      </c>
    </row>
    <row r="24" spans="1:4" x14ac:dyDescent="0.25">
      <c r="A24" s="41" t="s">
        <v>162</v>
      </c>
      <c r="B24" s="42" t="s">
        <v>163</v>
      </c>
      <c r="C24" s="41" t="s">
        <v>126</v>
      </c>
      <c r="D24" s="43">
        <v>0.35362525884932122</v>
      </c>
    </row>
    <row r="25" spans="1:4" x14ac:dyDescent="0.25">
      <c r="A25" s="41" t="s">
        <v>164</v>
      </c>
      <c r="B25" s="42" t="s">
        <v>165</v>
      </c>
      <c r="C25" s="41" t="s">
        <v>126</v>
      </c>
      <c r="D25" s="43">
        <v>0.35274244523672382</v>
      </c>
    </row>
    <row r="26" spans="1:4" x14ac:dyDescent="0.25">
      <c r="A26" s="41" t="s">
        <v>166</v>
      </c>
      <c r="B26" s="42" t="s">
        <v>167</v>
      </c>
      <c r="C26" s="41" t="s">
        <v>126</v>
      </c>
      <c r="D26" s="43">
        <v>0.50955645199952782</v>
      </c>
    </row>
    <row r="27" spans="1:4" x14ac:dyDescent="0.25">
      <c r="A27" s="41" t="s">
        <v>168</v>
      </c>
      <c r="B27" s="42" t="s">
        <v>169</v>
      </c>
      <c r="C27" s="41" t="s">
        <v>126</v>
      </c>
      <c r="D27" s="43">
        <v>0.35274244523672382</v>
      </c>
    </row>
    <row r="28" spans="1:4" x14ac:dyDescent="0.25">
      <c r="A28" s="41" t="s">
        <v>170</v>
      </c>
      <c r="B28" s="42" t="s">
        <v>171</v>
      </c>
      <c r="C28" s="41" t="s">
        <v>126</v>
      </c>
      <c r="D28" s="43">
        <v>0.35274244523672382</v>
      </c>
    </row>
    <row r="29" spans="1:4" x14ac:dyDescent="0.25">
      <c r="A29" s="41" t="s">
        <v>172</v>
      </c>
      <c r="B29" s="42" t="s">
        <v>173</v>
      </c>
      <c r="C29" s="41" t="s">
        <v>126</v>
      </c>
      <c r="D29" s="43">
        <v>0.35274244523672382</v>
      </c>
    </row>
    <row r="30" spans="1:4" x14ac:dyDescent="0.25">
      <c r="A30" s="41" t="s">
        <v>174</v>
      </c>
      <c r="B30" s="42" t="s">
        <v>175</v>
      </c>
      <c r="C30" s="41" t="s">
        <v>157</v>
      </c>
      <c r="D30" s="43">
        <v>0.35274244523672382</v>
      </c>
    </row>
    <row r="31" spans="1:4" x14ac:dyDescent="0.25">
      <c r="A31" s="41" t="s">
        <v>176</v>
      </c>
      <c r="B31" s="42" t="s">
        <v>177</v>
      </c>
      <c r="C31" s="41" t="s">
        <v>126</v>
      </c>
      <c r="D31" s="43">
        <v>0.36297996001621324</v>
      </c>
    </row>
    <row r="32" spans="1:4" x14ac:dyDescent="0.25">
      <c r="A32" s="41" t="s">
        <v>178</v>
      </c>
      <c r="B32" s="42" t="s">
        <v>179</v>
      </c>
      <c r="C32" s="41" t="s">
        <v>126</v>
      </c>
      <c r="D32" s="43">
        <v>0.31494390158765018</v>
      </c>
    </row>
    <row r="33" spans="1:4" x14ac:dyDescent="0.25">
      <c r="A33" s="41" t="s">
        <v>180</v>
      </c>
      <c r="B33" s="42" t="s">
        <v>181</v>
      </c>
      <c r="C33" s="41" t="s">
        <v>126</v>
      </c>
      <c r="D33" s="43">
        <v>0.35274244523672382</v>
      </c>
    </row>
    <row r="34" spans="1:4" x14ac:dyDescent="0.25">
      <c r="A34" s="41" t="s">
        <v>182</v>
      </c>
      <c r="B34" s="42" t="s">
        <v>183</v>
      </c>
      <c r="C34" s="41" t="s">
        <v>126</v>
      </c>
      <c r="D34" s="43">
        <v>0.35274244523672382</v>
      </c>
    </row>
    <row r="35" spans="1:4" x14ac:dyDescent="0.25">
      <c r="A35" s="41" t="s">
        <v>184</v>
      </c>
      <c r="B35" s="42" t="s">
        <v>185</v>
      </c>
      <c r="C35" s="41" t="s">
        <v>126</v>
      </c>
      <c r="D35" s="43">
        <v>0.49467011705409375</v>
      </c>
    </row>
    <row r="36" spans="1:4" x14ac:dyDescent="0.25">
      <c r="A36" s="41" t="s">
        <v>186</v>
      </c>
      <c r="B36" s="42" t="s">
        <v>187</v>
      </c>
      <c r="C36" s="41" t="s">
        <v>126</v>
      </c>
      <c r="D36" s="43">
        <v>0.35274244523672382</v>
      </c>
    </row>
    <row r="37" spans="1:4" x14ac:dyDescent="0.25">
      <c r="A37" s="41" t="s">
        <v>33</v>
      </c>
      <c r="B37" s="42" t="s">
        <v>188</v>
      </c>
      <c r="C37" s="41" t="s">
        <v>189</v>
      </c>
      <c r="D37" s="43">
        <v>0.35274244523672382</v>
      </c>
    </row>
    <row r="38" spans="1:4" x14ac:dyDescent="0.25">
      <c r="A38" s="41" t="s">
        <v>190</v>
      </c>
      <c r="B38" s="42" t="s">
        <v>191</v>
      </c>
      <c r="C38" s="41" t="s">
        <v>157</v>
      </c>
      <c r="D38" s="43">
        <v>0.44678677950242945</v>
      </c>
    </row>
    <row r="39" spans="1:4" x14ac:dyDescent="0.25">
      <c r="A39" s="41" t="s">
        <v>192</v>
      </c>
      <c r="B39" s="42" t="s">
        <v>193</v>
      </c>
      <c r="C39" s="41" t="s">
        <v>126</v>
      </c>
      <c r="D39" s="43">
        <v>0.27756484599582842</v>
      </c>
    </row>
    <row r="40" spans="1:4" x14ac:dyDescent="0.25">
      <c r="A40" s="41" t="s">
        <v>194</v>
      </c>
      <c r="B40" s="42" t="s">
        <v>195</v>
      </c>
      <c r="C40" s="41" t="s">
        <v>126</v>
      </c>
      <c r="D40" s="43">
        <v>0.33224855773433476</v>
      </c>
    </row>
    <row r="41" spans="1:4" x14ac:dyDescent="0.25">
      <c r="A41" s="41" t="s">
        <v>34</v>
      </c>
      <c r="B41" s="42" t="s">
        <v>196</v>
      </c>
      <c r="C41" s="41" t="s">
        <v>126</v>
      </c>
      <c r="D41" s="43">
        <v>0.35274244523672382</v>
      </c>
    </row>
    <row r="42" spans="1:4" x14ac:dyDescent="0.25">
      <c r="A42" s="41" t="s">
        <v>197</v>
      </c>
      <c r="B42" s="42" t="s">
        <v>198</v>
      </c>
      <c r="C42" s="41" t="s">
        <v>126</v>
      </c>
      <c r="D42" s="43">
        <v>0.31195931980170266</v>
      </c>
    </row>
    <row r="43" spans="1:4" x14ac:dyDescent="0.25">
      <c r="A43" s="41" t="s">
        <v>199</v>
      </c>
      <c r="B43" s="42" t="s">
        <v>200</v>
      </c>
      <c r="C43" s="41" t="s">
        <v>126</v>
      </c>
      <c r="D43" s="43">
        <v>0.35274244523672382</v>
      </c>
    </row>
    <row r="44" spans="1:4" x14ac:dyDescent="0.25">
      <c r="A44" s="41" t="s">
        <v>201</v>
      </c>
      <c r="B44" s="42" t="s">
        <v>202</v>
      </c>
      <c r="C44" s="41" t="s">
        <v>126</v>
      </c>
      <c r="D44" s="43">
        <v>0.36297996001621352</v>
      </c>
    </row>
    <row r="45" spans="1:4" x14ac:dyDescent="0.25">
      <c r="A45" s="41" t="s">
        <v>203</v>
      </c>
      <c r="B45" s="42" t="s">
        <v>204</v>
      </c>
      <c r="C45" s="41" t="s">
        <v>126</v>
      </c>
      <c r="D45" s="43">
        <v>0.35274244523672382</v>
      </c>
    </row>
    <row r="46" spans="1:4" x14ac:dyDescent="0.25">
      <c r="A46" s="41" t="s">
        <v>205</v>
      </c>
      <c r="B46" s="42" t="s">
        <v>206</v>
      </c>
      <c r="C46" s="41" t="s">
        <v>126</v>
      </c>
      <c r="D46" s="43">
        <v>0.41633417566741715</v>
      </c>
    </row>
    <row r="47" spans="1:4" x14ac:dyDescent="0.25">
      <c r="A47" s="41" t="s">
        <v>207</v>
      </c>
      <c r="B47" s="42" t="s">
        <v>208</v>
      </c>
      <c r="C47" s="41" t="s">
        <v>157</v>
      </c>
      <c r="D47" s="43">
        <v>0.35274244523672382</v>
      </c>
    </row>
    <row r="48" spans="1:4" x14ac:dyDescent="0.25">
      <c r="A48" s="41" t="s">
        <v>209</v>
      </c>
      <c r="B48" s="42" t="s">
        <v>210</v>
      </c>
      <c r="C48" s="41" t="s">
        <v>126</v>
      </c>
      <c r="D48" s="43">
        <v>0.39875072822218555</v>
      </c>
    </row>
    <row r="49" spans="1:4" x14ac:dyDescent="0.25">
      <c r="A49" s="41" t="s">
        <v>211</v>
      </c>
      <c r="B49" s="42" t="s">
        <v>212</v>
      </c>
      <c r="C49" s="41" t="s">
        <v>126</v>
      </c>
      <c r="D49" s="43">
        <v>0.50807896142007469</v>
      </c>
    </row>
    <row r="50" spans="1:4" x14ac:dyDescent="0.25">
      <c r="A50" s="41" t="s">
        <v>213</v>
      </c>
      <c r="B50" s="42" t="s">
        <v>214</v>
      </c>
      <c r="C50" s="41" t="s">
        <v>126</v>
      </c>
      <c r="D50" s="43">
        <v>0.3032625980729155</v>
      </c>
    </row>
    <row r="51" spans="1:4" x14ac:dyDescent="0.25">
      <c r="A51" s="41" t="s">
        <v>215</v>
      </c>
      <c r="B51" s="42" t="s">
        <v>216</v>
      </c>
      <c r="C51" s="41" t="s">
        <v>126</v>
      </c>
      <c r="D51" s="43">
        <v>0.34049227228456863</v>
      </c>
    </row>
    <row r="52" spans="1:4" x14ac:dyDescent="0.25">
      <c r="A52" s="41" t="s">
        <v>217</v>
      </c>
      <c r="B52" s="42" t="s">
        <v>218</v>
      </c>
      <c r="C52" s="41" t="s">
        <v>126</v>
      </c>
      <c r="D52" s="43">
        <v>0.35274244523672382</v>
      </c>
    </row>
    <row r="53" spans="1:4" x14ac:dyDescent="0.25">
      <c r="A53" s="41" t="s">
        <v>219</v>
      </c>
      <c r="B53" s="42" t="s">
        <v>220</v>
      </c>
      <c r="C53" s="41" t="s">
        <v>126</v>
      </c>
      <c r="D53" s="43">
        <v>0.35274244523672382</v>
      </c>
    </row>
    <row r="54" spans="1:4" x14ac:dyDescent="0.25">
      <c r="A54" s="41" t="s">
        <v>221</v>
      </c>
      <c r="B54" s="42" t="s">
        <v>222</v>
      </c>
      <c r="C54" s="41" t="s">
        <v>126</v>
      </c>
      <c r="D54" s="43">
        <v>0.39672087279238971</v>
      </c>
    </row>
    <row r="55" spans="1:4" x14ac:dyDescent="0.25">
      <c r="A55" s="41" t="s">
        <v>223</v>
      </c>
      <c r="B55" s="42" t="s">
        <v>224</v>
      </c>
      <c r="C55" s="41" t="s">
        <v>126</v>
      </c>
      <c r="D55" s="43">
        <v>0.35464369114761268</v>
      </c>
    </row>
    <row r="56" spans="1:4" x14ac:dyDescent="0.25">
      <c r="A56" s="41" t="s">
        <v>225</v>
      </c>
      <c r="B56" s="42" t="s">
        <v>226</v>
      </c>
      <c r="C56" s="41" t="s">
        <v>126</v>
      </c>
      <c r="D56" s="43">
        <v>0.35274244523672382</v>
      </c>
    </row>
    <row r="57" spans="1:4" x14ac:dyDescent="0.25">
      <c r="A57" s="41" t="s">
        <v>227</v>
      </c>
      <c r="B57" s="42" t="s">
        <v>228</v>
      </c>
      <c r="C57" s="41" t="s">
        <v>126</v>
      </c>
      <c r="D57" s="43">
        <v>0.2879697170616744</v>
      </c>
    </row>
    <row r="58" spans="1:4" x14ac:dyDescent="0.25">
      <c r="A58" s="41" t="s">
        <v>229</v>
      </c>
      <c r="B58" s="42" t="s">
        <v>230</v>
      </c>
      <c r="C58" s="41" t="s">
        <v>126</v>
      </c>
      <c r="D58" s="43">
        <v>0.35274244523672382</v>
      </c>
    </row>
    <row r="59" spans="1:4" x14ac:dyDescent="0.25">
      <c r="A59" s="41" t="s">
        <v>231</v>
      </c>
      <c r="B59" s="42" t="s">
        <v>232</v>
      </c>
      <c r="C59" s="41" t="s">
        <v>126</v>
      </c>
      <c r="D59" s="43">
        <v>0.35274244523672382</v>
      </c>
    </row>
    <row r="60" spans="1:4" x14ac:dyDescent="0.25">
      <c r="A60" s="41" t="s">
        <v>39</v>
      </c>
      <c r="B60" s="42" t="s">
        <v>233</v>
      </c>
      <c r="C60" s="41" t="s">
        <v>126</v>
      </c>
      <c r="D60" s="43">
        <v>0.35274244523672382</v>
      </c>
    </row>
    <row r="61" spans="1:4" x14ac:dyDescent="0.25">
      <c r="A61" s="41" t="s">
        <v>234</v>
      </c>
      <c r="B61" s="42" t="s">
        <v>235</v>
      </c>
      <c r="C61" s="41" t="s">
        <v>126</v>
      </c>
      <c r="D61" s="43">
        <v>0.35274244523672382</v>
      </c>
    </row>
    <row r="62" spans="1:4" x14ac:dyDescent="0.25">
      <c r="A62" s="41" t="s">
        <v>236</v>
      </c>
      <c r="B62" s="42" t="s">
        <v>237</v>
      </c>
      <c r="C62" s="41" t="s">
        <v>157</v>
      </c>
      <c r="D62" s="43">
        <v>0.35274244523672382</v>
      </c>
    </row>
    <row r="63" spans="1:4" x14ac:dyDescent="0.25">
      <c r="A63" s="41" t="s">
        <v>238</v>
      </c>
      <c r="B63" s="42" t="s">
        <v>239</v>
      </c>
      <c r="C63" s="41" t="s">
        <v>126</v>
      </c>
      <c r="D63" s="43">
        <v>0.35653159361198999</v>
      </c>
    </row>
    <row r="64" spans="1:4" x14ac:dyDescent="0.25">
      <c r="A64" s="41" t="s">
        <v>240</v>
      </c>
      <c r="B64" s="42" t="s">
        <v>241</v>
      </c>
      <c r="C64" s="41" t="s">
        <v>126</v>
      </c>
      <c r="D64" s="43">
        <v>0.35178505274708649</v>
      </c>
    </row>
    <row r="65" spans="1:4" x14ac:dyDescent="0.25">
      <c r="A65" s="41" t="s">
        <v>242</v>
      </c>
      <c r="B65" s="42" t="s">
        <v>243</v>
      </c>
      <c r="C65" s="41" t="s">
        <v>126</v>
      </c>
      <c r="D65" s="43">
        <v>0.35316196530037297</v>
      </c>
    </row>
    <row r="66" spans="1:4" x14ac:dyDescent="0.25">
      <c r="A66" s="41" t="s">
        <v>244</v>
      </c>
      <c r="B66" s="42" t="s">
        <v>245</v>
      </c>
      <c r="C66" s="41" t="s">
        <v>126</v>
      </c>
      <c r="D66" s="43">
        <v>0.27641922337373315</v>
      </c>
    </row>
    <row r="67" spans="1:4" x14ac:dyDescent="0.25">
      <c r="A67" s="41" t="s">
        <v>246</v>
      </c>
      <c r="B67" s="42" t="s">
        <v>247</v>
      </c>
      <c r="C67" s="41" t="s">
        <v>126</v>
      </c>
      <c r="D67" s="43">
        <v>0.35274244523672382</v>
      </c>
    </row>
    <row r="68" spans="1:4" x14ac:dyDescent="0.25">
      <c r="A68" s="41" t="s">
        <v>248</v>
      </c>
      <c r="B68" s="42" t="s">
        <v>249</v>
      </c>
      <c r="C68" s="41" t="s">
        <v>126</v>
      </c>
      <c r="D68" s="43">
        <v>0.35274244523672382</v>
      </c>
    </row>
    <row r="69" spans="1:4" x14ac:dyDescent="0.25">
      <c r="A69" s="41" t="s">
        <v>250</v>
      </c>
      <c r="B69" s="42" t="s">
        <v>251</v>
      </c>
      <c r="C69" s="41" t="s">
        <v>126</v>
      </c>
      <c r="D69" s="43">
        <v>0.37590579047445571</v>
      </c>
    </row>
    <row r="70" spans="1:4" x14ac:dyDescent="0.25">
      <c r="A70" s="41" t="s">
        <v>252</v>
      </c>
      <c r="B70" s="42" t="s">
        <v>253</v>
      </c>
      <c r="C70" s="41" t="s">
        <v>126</v>
      </c>
      <c r="D70" s="43">
        <v>0.34778625564600507</v>
      </c>
    </row>
    <row r="71" spans="1:4" x14ac:dyDescent="0.25">
      <c r="A71" s="41" t="s">
        <v>254</v>
      </c>
      <c r="B71" s="42" t="s">
        <v>255</v>
      </c>
      <c r="C71" s="41" t="s">
        <v>126</v>
      </c>
      <c r="D71" s="43">
        <v>0.33058245619240545</v>
      </c>
    </row>
    <row r="72" spans="1:4" x14ac:dyDescent="0.25">
      <c r="A72" s="41" t="s">
        <v>256</v>
      </c>
      <c r="B72" s="42" t="s">
        <v>257</v>
      </c>
      <c r="C72" s="41" t="s">
        <v>126</v>
      </c>
      <c r="D72" s="43">
        <v>0.2953978508154147</v>
      </c>
    </row>
    <row r="73" spans="1:4" x14ac:dyDescent="0.25">
      <c r="A73" s="41" t="s">
        <v>258</v>
      </c>
      <c r="B73" s="42" t="s">
        <v>259</v>
      </c>
      <c r="C73" s="41" t="s">
        <v>154</v>
      </c>
      <c r="D73" s="43">
        <v>0.58608926530886629</v>
      </c>
    </row>
    <row r="74" spans="1:4" x14ac:dyDescent="0.25">
      <c r="A74" s="41" t="s">
        <v>260</v>
      </c>
      <c r="B74" s="42" t="s">
        <v>261</v>
      </c>
      <c r="C74" s="41" t="s">
        <v>126</v>
      </c>
      <c r="D74" s="43">
        <v>0.35274244523672382</v>
      </c>
    </row>
    <row r="75" spans="1:4" x14ac:dyDescent="0.25">
      <c r="A75" s="41" t="s">
        <v>262</v>
      </c>
      <c r="B75" s="42" t="s">
        <v>263</v>
      </c>
      <c r="C75" s="41" t="s">
        <v>157</v>
      </c>
      <c r="D75" s="43">
        <v>0.35274244523672382</v>
      </c>
    </row>
    <row r="76" spans="1:4" x14ac:dyDescent="0.25">
      <c r="A76" s="41" t="s">
        <v>264</v>
      </c>
      <c r="B76" s="42" t="s">
        <v>265</v>
      </c>
      <c r="C76" s="41" t="s">
        <v>126</v>
      </c>
      <c r="D76" s="43">
        <v>0.28100194698217756</v>
      </c>
    </row>
    <row r="77" spans="1:4" x14ac:dyDescent="0.25">
      <c r="A77" s="41" t="s">
        <v>266</v>
      </c>
      <c r="B77" s="42" t="s">
        <v>267</v>
      </c>
      <c r="C77" s="41" t="s">
        <v>154</v>
      </c>
      <c r="D77" s="43">
        <v>0.35274244523672382</v>
      </c>
    </row>
    <row r="78" spans="1:4" x14ac:dyDescent="0.25">
      <c r="A78" s="41" t="s">
        <v>268</v>
      </c>
      <c r="B78" s="42" t="s">
        <v>269</v>
      </c>
      <c r="C78" s="41" t="s">
        <v>157</v>
      </c>
      <c r="D78" s="43">
        <v>0.57268230383254815</v>
      </c>
    </row>
    <row r="79" spans="1:4" x14ac:dyDescent="0.25">
      <c r="A79" s="41" t="s">
        <v>270</v>
      </c>
      <c r="B79" s="42" t="s">
        <v>271</v>
      </c>
      <c r="C79" s="41" t="s">
        <v>126</v>
      </c>
      <c r="D79" s="43">
        <v>0.30213624241311149</v>
      </c>
    </row>
    <row r="80" spans="1:4" x14ac:dyDescent="0.25">
      <c r="A80" s="41" t="s">
        <v>40</v>
      </c>
      <c r="B80" s="42" t="s">
        <v>272</v>
      </c>
      <c r="C80" s="41" t="s">
        <v>126</v>
      </c>
      <c r="D80" s="43">
        <v>0.35274244523672382</v>
      </c>
    </row>
    <row r="81" spans="1:4" x14ac:dyDescent="0.25">
      <c r="A81" s="41" t="s">
        <v>273</v>
      </c>
      <c r="B81" s="42" t="s">
        <v>274</v>
      </c>
      <c r="C81" s="41" t="s">
        <v>126</v>
      </c>
      <c r="D81" s="43">
        <v>0.35274244523672382</v>
      </c>
    </row>
    <row r="82" spans="1:4" x14ac:dyDescent="0.25">
      <c r="A82" s="41" t="s">
        <v>275</v>
      </c>
      <c r="B82" s="42" t="s">
        <v>276</v>
      </c>
      <c r="C82" s="41" t="s">
        <v>157</v>
      </c>
      <c r="D82" s="43">
        <v>0.35274244523672382</v>
      </c>
    </row>
    <row r="83" spans="1:4" x14ac:dyDescent="0.25">
      <c r="A83" s="41" t="s">
        <v>277</v>
      </c>
      <c r="B83" s="42" t="s">
        <v>278</v>
      </c>
      <c r="C83" s="41" t="s">
        <v>126</v>
      </c>
      <c r="D83" s="43">
        <v>0.35274244523672382</v>
      </c>
    </row>
    <row r="84" spans="1:4" x14ac:dyDescent="0.25">
      <c r="A84" s="41" t="s">
        <v>279</v>
      </c>
      <c r="B84" s="42" t="s">
        <v>280</v>
      </c>
      <c r="C84" s="41" t="s">
        <v>157</v>
      </c>
      <c r="D84" s="43">
        <v>0.35376761433200371</v>
      </c>
    </row>
    <row r="85" spans="1:4" x14ac:dyDescent="0.25">
      <c r="A85" s="41" t="s">
        <v>281</v>
      </c>
      <c r="B85" s="42" t="s">
        <v>282</v>
      </c>
      <c r="C85" s="41" t="s">
        <v>154</v>
      </c>
      <c r="D85" s="43">
        <v>0.3270606820844067</v>
      </c>
    </row>
    <row r="86" spans="1:4" x14ac:dyDescent="0.25">
      <c r="A86" s="41" t="s">
        <v>283</v>
      </c>
      <c r="B86" s="42" t="s">
        <v>284</v>
      </c>
      <c r="C86" s="41" t="s">
        <v>126</v>
      </c>
      <c r="D86" s="43">
        <v>0.35274244523672382</v>
      </c>
    </row>
    <row r="87" spans="1:4" x14ac:dyDescent="0.25">
      <c r="A87" s="41" t="s">
        <v>285</v>
      </c>
      <c r="B87" s="42" t="s">
        <v>286</v>
      </c>
      <c r="C87" s="41" t="s">
        <v>126</v>
      </c>
      <c r="D87" s="43">
        <v>0.35274244523672382</v>
      </c>
    </row>
    <row r="88" spans="1:4" x14ac:dyDescent="0.25">
      <c r="A88" s="41" t="s">
        <v>287</v>
      </c>
      <c r="B88" s="42" t="s">
        <v>288</v>
      </c>
      <c r="C88" s="41" t="s">
        <v>126</v>
      </c>
      <c r="D88" s="43">
        <v>0.35274244523672382</v>
      </c>
    </row>
    <row r="89" spans="1:4" x14ac:dyDescent="0.25">
      <c r="A89" s="41" t="s">
        <v>289</v>
      </c>
      <c r="B89" s="42" t="s">
        <v>290</v>
      </c>
      <c r="C89" s="41" t="s">
        <v>126</v>
      </c>
      <c r="D89" s="43">
        <v>0.35274244523672382</v>
      </c>
    </row>
    <row r="90" spans="1:4" x14ac:dyDescent="0.25">
      <c r="A90" s="41" t="s">
        <v>291</v>
      </c>
      <c r="B90" s="42" t="s">
        <v>292</v>
      </c>
      <c r="C90" s="41" t="s">
        <v>126</v>
      </c>
      <c r="D90" s="43">
        <v>0.35274244523672382</v>
      </c>
    </row>
    <row r="91" spans="1:4" x14ac:dyDescent="0.25">
      <c r="A91" s="41" t="s">
        <v>293</v>
      </c>
      <c r="B91" s="42" t="s">
        <v>294</v>
      </c>
      <c r="C91" s="41" t="s">
        <v>126</v>
      </c>
      <c r="D91" s="43">
        <v>0.35274244523672382</v>
      </c>
    </row>
    <row r="92" spans="1:4" x14ac:dyDescent="0.25">
      <c r="A92" s="41" t="s">
        <v>295</v>
      </c>
      <c r="B92" s="42" t="s">
        <v>296</v>
      </c>
      <c r="C92" s="41" t="s">
        <v>126</v>
      </c>
      <c r="D92" s="43">
        <v>0.35274244523672382</v>
      </c>
    </row>
    <row r="93" spans="1:4" x14ac:dyDescent="0.25">
      <c r="A93" s="41" t="s">
        <v>297</v>
      </c>
      <c r="B93" s="42" t="s">
        <v>298</v>
      </c>
      <c r="C93" s="41" t="s">
        <v>154</v>
      </c>
      <c r="D93" s="43">
        <v>0.35274244523672382</v>
      </c>
    </row>
    <row r="94" spans="1:4" x14ac:dyDescent="0.25">
      <c r="A94" s="41" t="s">
        <v>299</v>
      </c>
      <c r="B94" s="42" t="s">
        <v>300</v>
      </c>
      <c r="C94" s="41" t="s">
        <v>126</v>
      </c>
      <c r="D94" s="43">
        <v>0.35881109228176644</v>
      </c>
    </row>
    <row r="95" spans="1:4" x14ac:dyDescent="0.25">
      <c r="A95" s="41" t="s">
        <v>301</v>
      </c>
      <c r="B95" s="42" t="s">
        <v>302</v>
      </c>
      <c r="C95" s="41" t="s">
        <v>126</v>
      </c>
      <c r="D95" s="43">
        <v>0.35274244523672382</v>
      </c>
    </row>
    <row r="96" spans="1:4" x14ac:dyDescent="0.25">
      <c r="A96" s="41" t="s">
        <v>303</v>
      </c>
      <c r="B96" s="42" t="s">
        <v>304</v>
      </c>
      <c r="C96" s="41" t="s">
        <v>126</v>
      </c>
      <c r="D96" s="43">
        <v>0.35274244523672382</v>
      </c>
    </row>
    <row r="97" spans="1:4" x14ac:dyDescent="0.25">
      <c r="A97" s="41" t="s">
        <v>305</v>
      </c>
      <c r="B97" s="42" t="s">
        <v>306</v>
      </c>
      <c r="C97" s="41" t="s">
        <v>126</v>
      </c>
      <c r="D97" s="43">
        <v>0.35274244523672382</v>
      </c>
    </row>
    <row r="98" spans="1:4" x14ac:dyDescent="0.25">
      <c r="A98" s="41" t="s">
        <v>41</v>
      </c>
      <c r="B98" s="42" t="s">
        <v>307</v>
      </c>
      <c r="C98" s="41" t="s">
        <v>126</v>
      </c>
      <c r="D98" s="43">
        <v>0.35274244523672382</v>
      </c>
    </row>
    <row r="99" spans="1:4" x14ac:dyDescent="0.25">
      <c r="A99" s="41" t="s">
        <v>308</v>
      </c>
      <c r="B99" s="42" t="s">
        <v>309</v>
      </c>
      <c r="C99" s="41" t="s">
        <v>126</v>
      </c>
      <c r="D99" s="43">
        <v>0.35274244523672382</v>
      </c>
    </row>
    <row r="100" spans="1:4" x14ac:dyDescent="0.25">
      <c r="A100" s="41" t="s">
        <v>310</v>
      </c>
      <c r="B100" s="42" t="s">
        <v>311</v>
      </c>
      <c r="C100" s="41" t="s">
        <v>126</v>
      </c>
      <c r="D100" s="43">
        <v>0.35274244523672382</v>
      </c>
    </row>
    <row r="101" spans="1:4" x14ac:dyDescent="0.25">
      <c r="A101" s="41" t="s">
        <v>312</v>
      </c>
      <c r="B101" s="42" t="s">
        <v>313</v>
      </c>
      <c r="C101" s="41" t="s">
        <v>126</v>
      </c>
      <c r="D101" s="43">
        <v>0.35274244523672382</v>
      </c>
    </row>
    <row r="102" spans="1:4" x14ac:dyDescent="0.25">
      <c r="A102" s="41" t="s">
        <v>314</v>
      </c>
      <c r="B102" s="42" t="s">
        <v>315</v>
      </c>
      <c r="C102" s="41" t="s">
        <v>126</v>
      </c>
      <c r="D102" s="43">
        <v>0.35274244523672382</v>
      </c>
    </row>
    <row r="103" spans="1:4" x14ac:dyDescent="0.25">
      <c r="A103" s="41" t="s">
        <v>316</v>
      </c>
      <c r="B103" s="42" t="s">
        <v>253</v>
      </c>
      <c r="C103" s="41" t="s">
        <v>126</v>
      </c>
      <c r="D103" s="43">
        <v>0.35274244523672382</v>
      </c>
    </row>
    <row r="104" spans="1:4" x14ac:dyDescent="0.25">
      <c r="A104" s="41" t="s">
        <v>317</v>
      </c>
      <c r="B104" s="42" t="s">
        <v>318</v>
      </c>
      <c r="C104" s="41" t="s">
        <v>126</v>
      </c>
      <c r="D104" s="43">
        <v>0.35274244523672382</v>
      </c>
    </row>
    <row r="105" spans="1:4" x14ac:dyDescent="0.25">
      <c r="A105" s="41" t="s">
        <v>20</v>
      </c>
      <c r="B105" s="42" t="s">
        <v>319</v>
      </c>
      <c r="C105" s="41" t="s">
        <v>126</v>
      </c>
      <c r="D105" s="43">
        <v>0.35274244523672382</v>
      </c>
    </row>
    <row r="106" spans="1:4" x14ac:dyDescent="0.25">
      <c r="A106" s="41" t="s">
        <v>320</v>
      </c>
      <c r="B106" s="42" t="s">
        <v>321</v>
      </c>
      <c r="C106" s="41" t="s">
        <v>126</v>
      </c>
      <c r="D106" s="43">
        <v>0.35274244523672382</v>
      </c>
    </row>
    <row r="107" spans="1:4" x14ac:dyDescent="0.25">
      <c r="A107" s="41" t="s">
        <v>322</v>
      </c>
      <c r="B107" s="42" t="s">
        <v>323</v>
      </c>
      <c r="C107" s="41" t="s">
        <v>126</v>
      </c>
      <c r="D107" s="43">
        <v>0.26697408552192708</v>
      </c>
    </row>
    <row r="108" spans="1:4" x14ac:dyDescent="0.25">
      <c r="A108" s="41" t="s">
        <v>324</v>
      </c>
      <c r="B108" s="42" t="s">
        <v>325</v>
      </c>
      <c r="C108" s="41" t="s">
        <v>126</v>
      </c>
      <c r="D108" s="43">
        <v>0.35274244523672382</v>
      </c>
    </row>
    <row r="109" spans="1:4" x14ac:dyDescent="0.25">
      <c r="A109" s="41" t="s">
        <v>326</v>
      </c>
      <c r="B109" s="42" t="s">
        <v>327</v>
      </c>
      <c r="C109" s="41" t="s">
        <v>126</v>
      </c>
      <c r="D109" s="43">
        <v>0.35274244523672382</v>
      </c>
    </row>
    <row r="110" spans="1:4" x14ac:dyDescent="0.25">
      <c r="A110" s="41" t="s">
        <v>328</v>
      </c>
      <c r="B110" s="42" t="s">
        <v>329</v>
      </c>
      <c r="C110" s="41" t="s">
        <v>126</v>
      </c>
      <c r="D110" s="43">
        <v>0.30979413994586297</v>
      </c>
    </row>
    <row r="111" spans="1:4" x14ac:dyDescent="0.25">
      <c r="A111" s="41" t="s">
        <v>330</v>
      </c>
      <c r="B111" s="42" t="s">
        <v>331</v>
      </c>
      <c r="C111" s="41" t="s">
        <v>126</v>
      </c>
      <c r="D111" s="43">
        <v>0.35274244523672382</v>
      </c>
    </row>
    <row r="112" spans="1:4" x14ac:dyDescent="0.25">
      <c r="A112" s="41" t="s">
        <v>332</v>
      </c>
      <c r="B112" s="42" t="s">
        <v>333</v>
      </c>
      <c r="C112" s="41" t="s">
        <v>126</v>
      </c>
      <c r="D112" s="43">
        <v>0.33945692747523504</v>
      </c>
    </row>
    <row r="113" spans="1:4" x14ac:dyDescent="0.25">
      <c r="A113" s="41" t="s">
        <v>42</v>
      </c>
      <c r="B113" s="42" t="s">
        <v>334</v>
      </c>
      <c r="C113" s="41" t="s">
        <v>126</v>
      </c>
      <c r="D113" s="43">
        <v>0.35274244523672382</v>
      </c>
    </row>
    <row r="114" spans="1:4" x14ac:dyDescent="0.25">
      <c r="A114" s="41" t="s">
        <v>335</v>
      </c>
      <c r="B114" s="42" t="s">
        <v>336</v>
      </c>
      <c r="C114" s="41" t="s">
        <v>126</v>
      </c>
      <c r="D114" s="43">
        <v>0.44764149344092746</v>
      </c>
    </row>
    <row r="115" spans="1:4" x14ac:dyDescent="0.25">
      <c r="A115" s="41" t="s">
        <v>337</v>
      </c>
      <c r="B115" s="42" t="s">
        <v>338</v>
      </c>
      <c r="C115" s="41" t="s">
        <v>154</v>
      </c>
      <c r="D115" s="43">
        <v>0.35274244523672382</v>
      </c>
    </row>
    <row r="116" spans="1:4" x14ac:dyDescent="0.25">
      <c r="A116" s="41" t="s">
        <v>339</v>
      </c>
      <c r="B116" s="42" t="s">
        <v>340</v>
      </c>
      <c r="C116" s="41" t="s">
        <v>126</v>
      </c>
      <c r="D116" s="43">
        <v>0.35274244523672382</v>
      </c>
    </row>
    <row r="117" spans="1:4" x14ac:dyDescent="0.25">
      <c r="A117" s="41" t="s">
        <v>341</v>
      </c>
      <c r="B117" s="42" t="s">
        <v>342</v>
      </c>
      <c r="C117" s="41" t="s">
        <v>126</v>
      </c>
      <c r="D117" s="43">
        <v>0.28888497390074974</v>
      </c>
    </row>
    <row r="118" spans="1:4" x14ac:dyDescent="0.25">
      <c r="A118" s="41" t="s">
        <v>343</v>
      </c>
      <c r="B118" s="42" t="s">
        <v>344</v>
      </c>
      <c r="C118" s="41" t="s">
        <v>126</v>
      </c>
      <c r="D118" s="43">
        <v>0.35274244523672382</v>
      </c>
    </row>
    <row r="119" spans="1:4" x14ac:dyDescent="0.25">
      <c r="A119" s="41" t="s">
        <v>345</v>
      </c>
      <c r="B119" s="42" t="s">
        <v>346</v>
      </c>
      <c r="C119" s="41" t="s">
        <v>126</v>
      </c>
      <c r="D119" s="43">
        <v>0.29597714018653326</v>
      </c>
    </row>
    <row r="120" spans="1:4" x14ac:dyDescent="0.25">
      <c r="A120" s="41" t="s">
        <v>347</v>
      </c>
      <c r="B120" s="42" t="s">
        <v>348</v>
      </c>
      <c r="C120" s="41" t="s">
        <v>126</v>
      </c>
      <c r="D120" s="43">
        <v>0.35274244523672382</v>
      </c>
    </row>
    <row r="121" spans="1:4" x14ac:dyDescent="0.25">
      <c r="A121" s="41" t="s">
        <v>349</v>
      </c>
      <c r="B121" s="42" t="s">
        <v>350</v>
      </c>
      <c r="C121" s="41" t="s">
        <v>126</v>
      </c>
      <c r="D121" s="43">
        <v>0.38649274668168621</v>
      </c>
    </row>
    <row r="122" spans="1:4" x14ac:dyDescent="0.25">
      <c r="A122" s="41" t="s">
        <v>351</v>
      </c>
      <c r="B122" s="42" t="s">
        <v>352</v>
      </c>
      <c r="C122" s="41" t="s">
        <v>157</v>
      </c>
      <c r="D122" s="43">
        <v>0.36578997821670428</v>
      </c>
    </row>
    <row r="123" spans="1:4" x14ac:dyDescent="0.25">
      <c r="A123" s="41" t="s">
        <v>353</v>
      </c>
      <c r="B123" s="42" t="s">
        <v>354</v>
      </c>
      <c r="C123" s="41" t="s">
        <v>126</v>
      </c>
      <c r="D123" s="43">
        <v>0.35274244523672382</v>
      </c>
    </row>
    <row r="124" spans="1:4" x14ac:dyDescent="0.25">
      <c r="A124" s="41" t="s">
        <v>355</v>
      </c>
      <c r="B124" s="42" t="s">
        <v>356</v>
      </c>
      <c r="C124" s="41" t="s">
        <v>126</v>
      </c>
      <c r="D124" s="43">
        <v>0.35881075582858007</v>
      </c>
    </row>
    <row r="125" spans="1:4" x14ac:dyDescent="0.25">
      <c r="A125" s="41" t="s">
        <v>357</v>
      </c>
      <c r="B125" s="42" t="s">
        <v>358</v>
      </c>
      <c r="C125" s="41" t="s">
        <v>126</v>
      </c>
      <c r="D125" s="43">
        <v>0.35274244523672382</v>
      </c>
    </row>
    <row r="126" spans="1:4" x14ac:dyDescent="0.25">
      <c r="A126" s="41" t="s">
        <v>359</v>
      </c>
      <c r="B126" s="42" t="s">
        <v>360</v>
      </c>
      <c r="C126" s="41" t="s">
        <v>126</v>
      </c>
      <c r="D126" s="43">
        <v>0.35189591990884583</v>
      </c>
    </row>
    <row r="127" spans="1:4" x14ac:dyDescent="0.25">
      <c r="A127" s="41" t="s">
        <v>361</v>
      </c>
      <c r="B127" s="42" t="s">
        <v>362</v>
      </c>
      <c r="C127" s="41" t="s">
        <v>157</v>
      </c>
      <c r="D127" s="43">
        <v>0.35274244523672382</v>
      </c>
    </row>
    <row r="128" spans="1:4" x14ac:dyDescent="0.25">
      <c r="A128" s="41" t="s">
        <v>363</v>
      </c>
      <c r="B128" s="42" t="s">
        <v>364</v>
      </c>
      <c r="C128" s="41" t="s">
        <v>126</v>
      </c>
      <c r="D128" s="43">
        <v>0.351727634700162</v>
      </c>
    </row>
    <row r="129" spans="1:4" x14ac:dyDescent="0.25">
      <c r="A129" s="41" t="s">
        <v>365</v>
      </c>
      <c r="B129" s="42" t="s">
        <v>366</v>
      </c>
      <c r="C129" s="41" t="s">
        <v>126</v>
      </c>
      <c r="D129" s="43">
        <v>0.35274244523672382</v>
      </c>
    </row>
    <row r="130" spans="1:4" x14ac:dyDescent="0.25">
      <c r="A130" s="41" t="s">
        <v>43</v>
      </c>
      <c r="B130" s="42" t="s">
        <v>367</v>
      </c>
      <c r="C130" s="41" t="s">
        <v>126</v>
      </c>
      <c r="D130" s="43">
        <v>0.35274244523672382</v>
      </c>
    </row>
    <row r="131" spans="1:4" x14ac:dyDescent="0.25">
      <c r="A131" s="41" t="s">
        <v>368</v>
      </c>
      <c r="B131" s="42" t="s">
        <v>369</v>
      </c>
      <c r="C131" s="41" t="s">
        <v>126</v>
      </c>
      <c r="D131" s="43">
        <v>0.35274244523672382</v>
      </c>
    </row>
    <row r="132" spans="1:4" x14ac:dyDescent="0.25">
      <c r="A132" s="41" t="s">
        <v>370</v>
      </c>
      <c r="B132" s="42" t="s">
        <v>371</v>
      </c>
      <c r="C132" s="41" t="s">
        <v>126</v>
      </c>
      <c r="D132" s="43">
        <v>0.38431196686777208</v>
      </c>
    </row>
    <row r="133" spans="1:4" x14ac:dyDescent="0.25">
      <c r="A133" s="41" t="s">
        <v>372</v>
      </c>
      <c r="B133" s="42" t="s">
        <v>373</v>
      </c>
      <c r="C133" s="41" t="s">
        <v>126</v>
      </c>
      <c r="D133" s="43">
        <v>0.35393159014210485</v>
      </c>
    </row>
    <row r="134" spans="1:4" x14ac:dyDescent="0.25">
      <c r="A134" s="41" t="s">
        <v>374</v>
      </c>
      <c r="B134" s="42" t="s">
        <v>375</v>
      </c>
      <c r="C134" s="41" t="s">
        <v>126</v>
      </c>
      <c r="D134" s="43">
        <v>0.35274244523672382</v>
      </c>
    </row>
    <row r="135" spans="1:4" x14ac:dyDescent="0.25">
      <c r="A135" s="41" t="s">
        <v>376</v>
      </c>
      <c r="B135" s="42" t="s">
        <v>377</v>
      </c>
      <c r="C135" s="41" t="s">
        <v>126</v>
      </c>
      <c r="D135" s="43">
        <v>0.35274244523672382</v>
      </c>
    </row>
    <row r="136" spans="1:4" x14ac:dyDescent="0.25">
      <c r="A136" s="41" t="s">
        <v>378</v>
      </c>
      <c r="B136" s="42" t="s">
        <v>379</v>
      </c>
      <c r="C136" s="41" t="s">
        <v>126</v>
      </c>
      <c r="D136" s="43">
        <v>0.35274244523672382</v>
      </c>
    </row>
    <row r="137" spans="1:4" x14ac:dyDescent="0.25">
      <c r="A137" s="41" t="s">
        <v>380</v>
      </c>
      <c r="B137" s="42" t="s">
        <v>381</v>
      </c>
      <c r="C137" s="41" t="s">
        <v>126</v>
      </c>
      <c r="D137" s="43">
        <v>0.35274244523672382</v>
      </c>
    </row>
    <row r="138" spans="1:4" x14ac:dyDescent="0.25">
      <c r="A138" s="41" t="s">
        <v>382</v>
      </c>
      <c r="B138" s="42" t="s">
        <v>383</v>
      </c>
      <c r="C138" s="41" t="s">
        <v>126</v>
      </c>
      <c r="D138" s="43">
        <v>0.35274244523672382</v>
      </c>
    </row>
    <row r="139" spans="1:4" x14ac:dyDescent="0.25">
      <c r="A139" s="41" t="s">
        <v>384</v>
      </c>
      <c r="B139" s="42" t="s">
        <v>385</v>
      </c>
      <c r="C139" s="41" t="s">
        <v>126</v>
      </c>
      <c r="D139" s="43">
        <v>0.35274244523672382</v>
      </c>
    </row>
    <row r="140" spans="1:4" x14ac:dyDescent="0.25">
      <c r="A140" s="41" t="s">
        <v>386</v>
      </c>
      <c r="B140" s="42" t="s">
        <v>387</v>
      </c>
      <c r="C140" s="41" t="s">
        <v>126</v>
      </c>
      <c r="D140" s="43">
        <v>0.35274244523672371</v>
      </c>
    </row>
    <row r="141" spans="1:4" x14ac:dyDescent="0.25">
      <c r="A141" s="41" t="s">
        <v>388</v>
      </c>
      <c r="B141" s="42" t="s">
        <v>389</v>
      </c>
      <c r="C141" s="41" t="s">
        <v>126</v>
      </c>
      <c r="D141" s="43">
        <v>0.35274244523672382</v>
      </c>
    </row>
    <row r="142" spans="1:4" x14ac:dyDescent="0.25">
      <c r="A142" s="41" t="s">
        <v>390</v>
      </c>
      <c r="B142" s="42" t="s">
        <v>391</v>
      </c>
      <c r="C142" s="41" t="s">
        <v>126</v>
      </c>
      <c r="D142" s="43">
        <v>0.35274244523672382</v>
      </c>
    </row>
    <row r="143" spans="1:4" x14ac:dyDescent="0.25">
      <c r="A143" s="41" t="s">
        <v>392</v>
      </c>
      <c r="B143" s="42" t="s">
        <v>393</v>
      </c>
      <c r="C143" s="41" t="s">
        <v>126</v>
      </c>
      <c r="D143" s="43">
        <v>0.37179926680834124</v>
      </c>
    </row>
    <row r="144" spans="1:4" x14ac:dyDescent="0.25">
      <c r="A144" s="41" t="s">
        <v>394</v>
      </c>
      <c r="B144" s="42" t="s">
        <v>395</v>
      </c>
      <c r="C144" s="41" t="s">
        <v>126</v>
      </c>
      <c r="D144" s="43">
        <v>0.35274244523672382</v>
      </c>
    </row>
    <row r="145" spans="1:4" x14ac:dyDescent="0.25">
      <c r="A145" s="41" t="s">
        <v>396</v>
      </c>
      <c r="B145" s="42" t="s">
        <v>397</v>
      </c>
      <c r="C145" s="41" t="s">
        <v>126</v>
      </c>
      <c r="D145" s="43">
        <v>0.35274244523672382</v>
      </c>
    </row>
    <row r="146" spans="1:4" x14ac:dyDescent="0.25">
      <c r="A146" s="41" t="s">
        <v>398</v>
      </c>
      <c r="B146" s="42" t="s">
        <v>399</v>
      </c>
      <c r="C146" s="41" t="s">
        <v>154</v>
      </c>
      <c r="D146" s="43">
        <v>0.35274244523672382</v>
      </c>
    </row>
    <row r="147" spans="1:4" x14ac:dyDescent="0.25">
      <c r="A147" s="41" t="s">
        <v>400</v>
      </c>
      <c r="B147" s="42" t="s">
        <v>401</v>
      </c>
      <c r="C147" s="41" t="s">
        <v>126</v>
      </c>
      <c r="D147" s="43">
        <v>0.35274244523672382</v>
      </c>
    </row>
    <row r="148" spans="1:4" x14ac:dyDescent="0.25">
      <c r="A148" s="41" t="s">
        <v>402</v>
      </c>
      <c r="B148" s="42" t="s">
        <v>403</v>
      </c>
      <c r="C148" s="41" t="s">
        <v>126</v>
      </c>
      <c r="D148" s="43">
        <v>0.35338867089148501</v>
      </c>
    </row>
    <row r="149" spans="1:4" x14ac:dyDescent="0.25">
      <c r="A149" s="41" t="s">
        <v>404</v>
      </c>
      <c r="B149" s="42" t="s">
        <v>405</v>
      </c>
      <c r="C149" s="41" t="s">
        <v>126</v>
      </c>
      <c r="D149" s="43">
        <v>0.28529269187089412</v>
      </c>
    </row>
    <row r="150" spans="1:4" x14ac:dyDescent="0.25">
      <c r="A150" s="41" t="s">
        <v>406</v>
      </c>
      <c r="B150" s="42" t="s">
        <v>407</v>
      </c>
      <c r="C150" s="41" t="s">
        <v>126</v>
      </c>
      <c r="D150" s="43">
        <v>0.30087029015518946</v>
      </c>
    </row>
    <row r="151" spans="1:4" x14ac:dyDescent="0.25">
      <c r="A151" s="41" t="s">
        <v>408</v>
      </c>
      <c r="B151" s="42" t="s">
        <v>409</v>
      </c>
      <c r="C151" s="41" t="s">
        <v>126</v>
      </c>
      <c r="D151" s="43">
        <v>0.35274244523672382</v>
      </c>
    </row>
    <row r="152" spans="1:4" x14ac:dyDescent="0.25">
      <c r="A152" s="41" t="s">
        <v>410</v>
      </c>
      <c r="B152" s="42" t="s">
        <v>411</v>
      </c>
      <c r="C152" s="41" t="s">
        <v>126</v>
      </c>
      <c r="D152" s="43">
        <v>0.50838740568321339</v>
      </c>
    </row>
    <row r="153" spans="1:4" x14ac:dyDescent="0.25">
      <c r="A153" s="41" t="s">
        <v>412</v>
      </c>
      <c r="B153" s="42" t="s">
        <v>413</v>
      </c>
      <c r="C153" s="41" t="s">
        <v>157</v>
      </c>
      <c r="D153" s="43">
        <v>0.35274244523672382</v>
      </c>
    </row>
    <row r="154" spans="1:4" x14ac:dyDescent="0.25">
      <c r="A154" s="41" t="s">
        <v>414</v>
      </c>
      <c r="B154" s="42" t="s">
        <v>415</v>
      </c>
      <c r="C154" s="41" t="s">
        <v>126</v>
      </c>
      <c r="D154" s="43">
        <v>0.35274244523672382</v>
      </c>
    </row>
    <row r="155" spans="1:4" x14ac:dyDescent="0.25">
      <c r="A155" s="41" t="s">
        <v>416</v>
      </c>
      <c r="B155" s="42" t="s">
        <v>417</v>
      </c>
      <c r="C155" s="41" t="s">
        <v>126</v>
      </c>
      <c r="D155" s="43">
        <v>0.35274244523672382</v>
      </c>
    </row>
    <row r="156" spans="1:4" x14ac:dyDescent="0.25">
      <c r="A156" s="41" t="s">
        <v>418</v>
      </c>
      <c r="B156" s="42" t="s">
        <v>419</v>
      </c>
      <c r="C156" s="41" t="s">
        <v>157</v>
      </c>
      <c r="D156" s="43">
        <v>0.35274244523672382</v>
      </c>
    </row>
    <row r="157" spans="1:4" x14ac:dyDescent="0.25">
      <c r="A157" s="41" t="s">
        <v>420</v>
      </c>
      <c r="B157" s="42" t="s">
        <v>421</v>
      </c>
      <c r="C157" s="41" t="s">
        <v>126</v>
      </c>
      <c r="D157" s="43">
        <v>0.31787149727911646</v>
      </c>
    </row>
    <row r="158" spans="1:4" x14ac:dyDescent="0.25">
      <c r="A158" s="41" t="s">
        <v>422</v>
      </c>
      <c r="B158" s="42" t="s">
        <v>423</v>
      </c>
      <c r="C158" s="41" t="s">
        <v>126</v>
      </c>
      <c r="D158" s="43">
        <v>0.35274244523672382</v>
      </c>
    </row>
    <row r="159" spans="1:4" x14ac:dyDescent="0.25">
      <c r="A159" s="41" t="s">
        <v>424</v>
      </c>
      <c r="B159" s="42" t="s">
        <v>425</v>
      </c>
      <c r="C159" s="41" t="s">
        <v>126</v>
      </c>
      <c r="D159" s="43">
        <v>1.5277121009144217</v>
      </c>
    </row>
    <row r="160" spans="1:4" x14ac:dyDescent="0.25">
      <c r="A160" s="41" t="s">
        <v>426</v>
      </c>
      <c r="B160" s="42" t="s">
        <v>427</v>
      </c>
      <c r="C160" s="41" t="s">
        <v>157</v>
      </c>
      <c r="D160" s="43">
        <v>0.30061760815337318</v>
      </c>
    </row>
    <row r="161" spans="1:4" x14ac:dyDescent="0.25">
      <c r="A161" s="41" t="s">
        <v>428</v>
      </c>
      <c r="B161" s="42" t="s">
        <v>429</v>
      </c>
      <c r="C161" s="41" t="s">
        <v>157</v>
      </c>
      <c r="D161" s="43">
        <v>0.35274244523672382</v>
      </c>
    </row>
    <row r="162" spans="1:4" x14ac:dyDescent="0.25">
      <c r="A162" s="41" t="s">
        <v>430</v>
      </c>
      <c r="B162" s="42" t="s">
        <v>431</v>
      </c>
      <c r="C162" s="41" t="s">
        <v>126</v>
      </c>
      <c r="D162" s="43">
        <v>0.35274244523672382</v>
      </c>
    </row>
    <row r="163" spans="1:4" x14ac:dyDescent="0.25">
      <c r="A163" s="41" t="s">
        <v>44</v>
      </c>
      <c r="B163" s="42" t="s">
        <v>432</v>
      </c>
      <c r="C163" s="41" t="s">
        <v>157</v>
      </c>
      <c r="D163" s="43">
        <v>0.35274244523672382</v>
      </c>
    </row>
    <row r="164" spans="1:4" x14ac:dyDescent="0.25">
      <c r="A164" s="41" t="s">
        <v>45</v>
      </c>
      <c r="B164" s="42" t="s">
        <v>433</v>
      </c>
      <c r="C164" s="41" t="s">
        <v>157</v>
      </c>
      <c r="D164" s="43">
        <v>0.35274244523672382</v>
      </c>
    </row>
    <row r="165" spans="1:4" x14ac:dyDescent="0.25">
      <c r="A165" s="41" t="s">
        <v>434</v>
      </c>
      <c r="B165" s="42" t="s">
        <v>435</v>
      </c>
      <c r="C165" s="41" t="s">
        <v>157</v>
      </c>
      <c r="D165" s="43">
        <v>0.35274244523672382</v>
      </c>
    </row>
    <row r="166" spans="1:4" x14ac:dyDescent="0.25">
      <c r="A166" s="41" t="s">
        <v>46</v>
      </c>
      <c r="B166" s="42" t="s">
        <v>436</v>
      </c>
      <c r="C166" s="41" t="s">
        <v>157</v>
      </c>
      <c r="D166" s="43">
        <v>0.35274244523672382</v>
      </c>
    </row>
    <row r="167" spans="1:4" x14ac:dyDescent="0.25">
      <c r="A167" s="41" t="s">
        <v>47</v>
      </c>
      <c r="B167" s="42" t="s">
        <v>437</v>
      </c>
      <c r="C167" s="41" t="s">
        <v>157</v>
      </c>
      <c r="D167" s="43">
        <v>0.35274244523672382</v>
      </c>
    </row>
    <row r="168" spans="1:4" x14ac:dyDescent="0.25">
      <c r="A168" s="41" t="s">
        <v>48</v>
      </c>
      <c r="B168" s="42" t="s">
        <v>438</v>
      </c>
      <c r="C168" s="41" t="s">
        <v>157</v>
      </c>
      <c r="D168" s="43">
        <v>0.35274244523672382</v>
      </c>
    </row>
    <row r="169" spans="1:4" x14ac:dyDescent="0.25">
      <c r="A169" s="41" t="s">
        <v>49</v>
      </c>
      <c r="B169" s="42" t="s">
        <v>439</v>
      </c>
      <c r="C169" s="41" t="s">
        <v>157</v>
      </c>
      <c r="D169" s="43">
        <v>0.35274244523672382</v>
      </c>
    </row>
    <row r="170" spans="1:4" x14ac:dyDescent="0.25">
      <c r="A170" s="41" t="s">
        <v>50</v>
      </c>
      <c r="B170" s="42" t="s">
        <v>440</v>
      </c>
      <c r="C170" s="41" t="s">
        <v>126</v>
      </c>
      <c r="D170" s="43">
        <v>0.35274244523672382</v>
      </c>
    </row>
    <row r="171" spans="1:4" x14ac:dyDescent="0.25">
      <c r="A171" s="41" t="s">
        <v>51</v>
      </c>
      <c r="B171" s="42" t="s">
        <v>441</v>
      </c>
      <c r="C171" s="41" t="s">
        <v>157</v>
      </c>
      <c r="D171" s="43">
        <v>0.36813419592435975</v>
      </c>
    </row>
    <row r="172" spans="1:4" x14ac:dyDescent="0.25">
      <c r="A172" s="41" t="s">
        <v>52</v>
      </c>
      <c r="B172" s="42" t="s">
        <v>442</v>
      </c>
      <c r="C172" s="41" t="s">
        <v>157</v>
      </c>
      <c r="D172" s="43">
        <v>0.35274244523672382</v>
      </c>
    </row>
    <row r="173" spans="1:4" x14ac:dyDescent="0.25">
      <c r="A173" s="41" t="s">
        <v>53</v>
      </c>
      <c r="B173" s="42" t="s">
        <v>443</v>
      </c>
      <c r="C173" s="41" t="s">
        <v>157</v>
      </c>
      <c r="D173" s="43">
        <v>0.35274244523672382</v>
      </c>
    </row>
    <row r="174" spans="1:4" x14ac:dyDescent="0.25">
      <c r="A174" s="41" t="s">
        <v>54</v>
      </c>
      <c r="B174" s="42" t="s">
        <v>444</v>
      </c>
      <c r="C174" s="41" t="s">
        <v>157</v>
      </c>
      <c r="D174" s="43">
        <v>0.35274244523672382</v>
      </c>
    </row>
    <row r="175" spans="1:4" x14ac:dyDescent="0.25">
      <c r="A175" s="41" t="s">
        <v>55</v>
      </c>
      <c r="B175" s="42" t="s">
        <v>445</v>
      </c>
      <c r="C175" s="41" t="s">
        <v>157</v>
      </c>
      <c r="D175" s="43">
        <v>0.35274244523672382</v>
      </c>
    </row>
    <row r="176" spans="1:4" x14ac:dyDescent="0.25">
      <c r="A176" s="41" t="s">
        <v>56</v>
      </c>
      <c r="B176" s="42" t="s">
        <v>446</v>
      </c>
      <c r="C176" s="41" t="s">
        <v>157</v>
      </c>
      <c r="D176" s="43">
        <v>0.35274244523672382</v>
      </c>
    </row>
    <row r="177" spans="1:4" x14ac:dyDescent="0.25">
      <c r="A177" s="41" t="s">
        <v>57</v>
      </c>
      <c r="B177" s="42" t="s">
        <v>447</v>
      </c>
      <c r="C177" s="41" t="s">
        <v>157</v>
      </c>
      <c r="D177" s="43"/>
    </row>
    <row r="178" spans="1:4" x14ac:dyDescent="0.25">
      <c r="A178" s="41" t="s">
        <v>448</v>
      </c>
      <c r="B178" s="42" t="s">
        <v>449</v>
      </c>
      <c r="C178" s="41" t="s">
        <v>157</v>
      </c>
      <c r="D178" s="43">
        <v>0.35274244523672382</v>
      </c>
    </row>
    <row r="179" spans="1:4" x14ac:dyDescent="0.25">
      <c r="A179" s="41" t="s">
        <v>450</v>
      </c>
      <c r="B179" s="42" t="s">
        <v>451</v>
      </c>
      <c r="C179" s="41" t="s">
        <v>157</v>
      </c>
      <c r="D179" s="43"/>
    </row>
    <row r="180" spans="1:4" x14ac:dyDescent="0.25">
      <c r="A180" s="41" t="s">
        <v>452</v>
      </c>
      <c r="B180" s="42" t="s">
        <v>453</v>
      </c>
      <c r="C180" s="41" t="s">
        <v>126</v>
      </c>
      <c r="D180" s="43">
        <v>0.35274244523672382</v>
      </c>
    </row>
    <row r="181" spans="1:4" x14ac:dyDescent="0.25">
      <c r="A181" s="41" t="s">
        <v>454</v>
      </c>
      <c r="B181" s="42" t="s">
        <v>455</v>
      </c>
      <c r="C181" s="41" t="s">
        <v>126</v>
      </c>
      <c r="D181" s="43">
        <v>0.54014095096644221</v>
      </c>
    </row>
    <row r="182" spans="1:4" x14ac:dyDescent="0.25">
      <c r="A182" s="41" t="s">
        <v>456</v>
      </c>
      <c r="B182" s="42" t="s">
        <v>457</v>
      </c>
      <c r="C182" s="41" t="s">
        <v>126</v>
      </c>
      <c r="D182" s="43">
        <v>0.35274244523672382</v>
      </c>
    </row>
    <row r="183" spans="1:4" x14ac:dyDescent="0.25">
      <c r="A183" s="41" t="s">
        <v>458</v>
      </c>
      <c r="B183" s="42" t="s">
        <v>459</v>
      </c>
      <c r="C183" s="41" t="s">
        <v>126</v>
      </c>
      <c r="D183" s="43">
        <v>0.35274244523672382</v>
      </c>
    </row>
  </sheetData>
  <autoFilter ref="A5:D183" xr:uid="{BF3E783D-232F-400D-A527-13B76E718562}"/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3D6F-AE7F-4D1B-B4C4-2E4DD559A7C7}">
  <sheetPr codeName="Hoja9"/>
  <dimension ref="A1:H10"/>
  <sheetViews>
    <sheetView workbookViewId="0">
      <selection activeCell="H34" sqref="H34"/>
    </sheetView>
  </sheetViews>
  <sheetFormatPr baseColWidth="10" defaultColWidth="11.44140625" defaultRowHeight="14.4" x14ac:dyDescent="0.3"/>
  <cols>
    <col min="1" max="1" width="26.33203125" style="12" customWidth="1"/>
    <col min="2" max="2" width="36.33203125" style="10" customWidth="1"/>
    <col min="3" max="3" width="14" style="10" customWidth="1"/>
    <col min="4" max="4" width="14" customWidth="1"/>
    <col min="5" max="7" width="11.44140625" style="10"/>
    <col min="8" max="8" width="28.33203125" style="10" customWidth="1"/>
    <col min="9" max="16384" width="11.44140625" style="10"/>
  </cols>
  <sheetData>
    <row r="1" spans="1:8" ht="15" thickBot="1" x14ac:dyDescent="0.35">
      <c r="A1" s="130" t="s">
        <v>461</v>
      </c>
      <c r="B1" s="130"/>
    </row>
    <row r="2" spans="1:8" thickBot="1" x14ac:dyDescent="0.3">
      <c r="A2" s="44" t="s">
        <v>29</v>
      </c>
      <c r="B2" s="6" t="s">
        <v>30</v>
      </c>
      <c r="D2" s="10"/>
    </row>
    <row r="3" spans="1:8" ht="13.8" x14ac:dyDescent="0.25">
      <c r="A3" s="45" t="s">
        <v>462</v>
      </c>
      <c r="B3" s="8">
        <v>2</v>
      </c>
      <c r="D3" s="10"/>
    </row>
    <row r="4" spans="1:8" ht="15" thickBot="1" x14ac:dyDescent="0.35"/>
    <row r="5" spans="1:8" ht="42" thickBot="1" x14ac:dyDescent="0.3">
      <c r="A5" s="46" t="s">
        <v>463</v>
      </c>
      <c r="B5" s="46" t="s">
        <v>31</v>
      </c>
      <c r="C5" s="131" t="s">
        <v>460</v>
      </c>
      <c r="D5" s="131"/>
      <c r="E5" s="6" t="s">
        <v>70</v>
      </c>
      <c r="F5" s="6" t="s">
        <v>71</v>
      </c>
    </row>
    <row r="6" spans="1:8" ht="13.8" x14ac:dyDescent="0.25">
      <c r="A6" s="30" t="s">
        <v>26</v>
      </c>
      <c r="B6" s="25" t="s">
        <v>464</v>
      </c>
      <c r="C6" s="129" t="s">
        <v>465</v>
      </c>
      <c r="D6" s="129"/>
      <c r="E6" s="26">
        <v>42736</v>
      </c>
      <c r="F6" s="27"/>
      <c r="H6" s="66" t="s">
        <v>26</v>
      </c>
    </row>
    <row r="7" spans="1:8" ht="13.8" x14ac:dyDescent="0.25">
      <c r="A7" s="30" t="s">
        <v>503</v>
      </c>
      <c r="B7" s="25" t="s">
        <v>466</v>
      </c>
      <c r="C7" s="129" t="s">
        <v>465</v>
      </c>
      <c r="D7" s="129"/>
      <c r="E7" s="26">
        <v>42736</v>
      </c>
      <c r="F7" s="27"/>
      <c r="H7" s="66" t="s">
        <v>503</v>
      </c>
    </row>
    <row r="8" spans="1:8" ht="13.8" x14ac:dyDescent="0.25">
      <c r="A8" s="30" t="s">
        <v>506</v>
      </c>
      <c r="B8" s="25" t="s">
        <v>107</v>
      </c>
      <c r="C8" s="129">
        <v>0</v>
      </c>
      <c r="D8" s="129"/>
      <c r="E8" s="26">
        <v>42736</v>
      </c>
      <c r="F8" s="27"/>
      <c r="H8" s="66" t="s">
        <v>504</v>
      </c>
    </row>
    <row r="9" spans="1:8" ht="13.8" x14ac:dyDescent="0.25">
      <c r="A9" s="61" t="s">
        <v>505</v>
      </c>
      <c r="B9" s="60" t="s">
        <v>467</v>
      </c>
      <c r="C9" s="47" t="s">
        <v>468</v>
      </c>
      <c r="D9" s="47" t="s">
        <v>469</v>
      </c>
      <c r="E9" s="26">
        <v>42736</v>
      </c>
      <c r="F9" s="27"/>
      <c r="H9" s="66" t="s">
        <v>505</v>
      </c>
    </row>
    <row r="10" spans="1:8" ht="13.8" x14ac:dyDescent="0.25">
      <c r="A10" s="30" t="s">
        <v>504</v>
      </c>
      <c r="B10" s="25" t="s">
        <v>470</v>
      </c>
      <c r="C10" s="129" t="s">
        <v>465</v>
      </c>
      <c r="D10" s="129"/>
      <c r="E10" s="26">
        <v>42736</v>
      </c>
      <c r="F10" s="27"/>
    </row>
  </sheetData>
  <mergeCells count="6">
    <mergeCell ref="C10:D10"/>
    <mergeCell ref="A1:B1"/>
    <mergeCell ref="C5:D5"/>
    <mergeCell ref="C6:D6"/>
    <mergeCell ref="C7:D7"/>
    <mergeCell ref="C8:D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11E5-E0D1-45D6-8BBF-A1E1ED409A23}">
  <sheetPr codeName="Hoja10"/>
  <dimension ref="A1:F12"/>
  <sheetViews>
    <sheetView workbookViewId="0">
      <selection activeCell="H34" sqref="H34"/>
    </sheetView>
  </sheetViews>
  <sheetFormatPr baseColWidth="10" defaultColWidth="11.44140625" defaultRowHeight="13.8" x14ac:dyDescent="0.25"/>
  <cols>
    <col min="1" max="1" width="27.88671875" style="10" customWidth="1"/>
    <col min="2" max="2" width="59.88671875" style="10" customWidth="1"/>
    <col min="3" max="3" width="20.33203125" style="10" customWidth="1"/>
    <col min="4" max="4" width="16.88671875" style="10" customWidth="1"/>
    <col min="5" max="5" width="11.44140625" style="10"/>
    <col min="6" max="6" width="78.109375" style="10" bestFit="1" customWidth="1"/>
    <col min="7" max="16384" width="11.44140625" style="10"/>
  </cols>
  <sheetData>
    <row r="1" spans="1:6" ht="16.5" customHeight="1" thickBot="1" x14ac:dyDescent="0.3">
      <c r="A1" s="132" t="s">
        <v>471</v>
      </c>
      <c r="B1" s="132"/>
    </row>
    <row r="2" spans="1:6" ht="14.4" thickBot="1" x14ac:dyDescent="0.3">
      <c r="C2" s="6" t="s">
        <v>29</v>
      </c>
      <c r="D2" s="6" t="s">
        <v>30</v>
      </c>
    </row>
    <row r="3" spans="1:6" x14ac:dyDescent="0.25">
      <c r="C3" s="7">
        <v>2</v>
      </c>
      <c r="D3" s="8">
        <v>0</v>
      </c>
    </row>
    <row r="4" spans="1:6" ht="14.4" thickBot="1" x14ac:dyDescent="0.3"/>
    <row r="5" spans="1:6" ht="27.6" x14ac:dyDescent="0.25">
      <c r="A5" s="18" t="s">
        <v>472</v>
      </c>
      <c r="B5" s="18" t="s">
        <v>31</v>
      </c>
      <c r="C5" s="48" t="s">
        <v>70</v>
      </c>
      <c r="D5" s="48" t="s">
        <v>71</v>
      </c>
    </row>
    <row r="6" spans="1:6" x14ac:dyDescent="0.25">
      <c r="A6" s="21">
        <v>1</v>
      </c>
      <c r="B6" s="22" t="s">
        <v>473</v>
      </c>
      <c r="C6" s="49">
        <v>42736</v>
      </c>
      <c r="D6" s="50"/>
      <c r="F6" s="10" t="s">
        <v>550</v>
      </c>
    </row>
    <row r="7" spans="1:6" x14ac:dyDescent="0.25">
      <c r="A7" s="21">
        <v>2</v>
      </c>
      <c r="B7" s="22" t="s">
        <v>474</v>
      </c>
      <c r="C7" s="38">
        <v>42736</v>
      </c>
      <c r="D7" s="24"/>
      <c r="F7" s="10" t="s">
        <v>551</v>
      </c>
    </row>
    <row r="8" spans="1:6" x14ac:dyDescent="0.25">
      <c r="A8" s="21">
        <v>3</v>
      </c>
      <c r="B8" s="22" t="s">
        <v>475</v>
      </c>
      <c r="C8" s="38">
        <v>42736</v>
      </c>
      <c r="D8" s="24"/>
      <c r="F8" s="10" t="s">
        <v>552</v>
      </c>
    </row>
    <row r="9" spans="1:6" x14ac:dyDescent="0.25">
      <c r="A9" s="21">
        <v>4</v>
      </c>
      <c r="B9" s="22" t="s">
        <v>476</v>
      </c>
      <c r="C9" s="38">
        <v>42736</v>
      </c>
      <c r="D9" s="24"/>
      <c r="F9" s="10" t="s">
        <v>553</v>
      </c>
    </row>
    <row r="10" spans="1:6" x14ac:dyDescent="0.25">
      <c r="A10" s="21">
        <v>5</v>
      </c>
      <c r="B10" s="22" t="s">
        <v>477</v>
      </c>
      <c r="C10" s="38">
        <v>42736</v>
      </c>
      <c r="D10" s="24"/>
      <c r="F10" s="10" t="s">
        <v>554</v>
      </c>
    </row>
    <row r="11" spans="1:6" x14ac:dyDescent="0.25">
      <c r="A11" s="21">
        <v>6</v>
      </c>
      <c r="B11" s="22" t="s">
        <v>478</v>
      </c>
      <c r="C11" s="38">
        <v>42736</v>
      </c>
      <c r="D11" s="24"/>
      <c r="F11" s="10" t="s">
        <v>555</v>
      </c>
    </row>
    <row r="12" spans="1:6" x14ac:dyDescent="0.25">
      <c r="A12" s="21">
        <v>7</v>
      </c>
      <c r="B12" s="29" t="s">
        <v>479</v>
      </c>
      <c r="C12" s="38">
        <v>42943</v>
      </c>
      <c r="D12" s="24"/>
      <c r="F12" s="10" t="s">
        <v>556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F10E-F7B7-476C-BFBD-77E7FF93B29D}">
  <sheetPr codeName="Hoja11"/>
  <dimension ref="A1:H125"/>
  <sheetViews>
    <sheetView workbookViewId="0">
      <selection activeCell="H34" sqref="H34"/>
    </sheetView>
  </sheetViews>
  <sheetFormatPr baseColWidth="10" defaultColWidth="11.44140625" defaultRowHeight="13.8" x14ac:dyDescent="0.25"/>
  <cols>
    <col min="1" max="1" width="26.33203125" style="10" customWidth="1"/>
    <col min="2" max="2" width="94.33203125" style="10" customWidth="1"/>
    <col min="3" max="4" width="16.6640625" style="10" customWidth="1"/>
    <col min="5" max="5" width="17" style="10" customWidth="1"/>
    <col min="6" max="6" width="17.44140625" style="10" customWidth="1"/>
    <col min="7" max="7" width="11.44140625" style="10"/>
    <col min="8" max="8" width="116.88671875" style="10" bestFit="1" customWidth="1"/>
    <col min="9" max="16384" width="11.44140625" style="10"/>
  </cols>
  <sheetData>
    <row r="1" spans="1:8" ht="14.4" thickBot="1" x14ac:dyDescent="0.3">
      <c r="A1" s="133" t="s">
        <v>480</v>
      </c>
      <c r="B1" s="133"/>
    </row>
    <row r="2" spans="1:8" ht="14.4" thickBot="1" x14ac:dyDescent="0.3">
      <c r="A2" s="6" t="s">
        <v>29</v>
      </c>
      <c r="B2" s="6" t="s">
        <v>30</v>
      </c>
    </row>
    <row r="3" spans="1:8" x14ac:dyDescent="0.25">
      <c r="A3" s="7">
        <v>1</v>
      </c>
      <c r="B3" s="8">
        <v>1</v>
      </c>
    </row>
    <row r="4" spans="1:8" ht="14.4" thickBot="1" x14ac:dyDescent="0.3">
      <c r="A4" s="51"/>
      <c r="B4" s="52"/>
      <c r="C4" s="53"/>
      <c r="D4" s="54"/>
    </row>
    <row r="5" spans="1:8" ht="15.75" customHeight="1" thickBot="1" x14ac:dyDescent="0.3">
      <c r="A5" s="134" t="s">
        <v>481</v>
      </c>
      <c r="B5" s="136" t="s">
        <v>31</v>
      </c>
      <c r="C5" s="138" t="s">
        <v>482</v>
      </c>
      <c r="D5" s="138"/>
      <c r="E5" s="139" t="s">
        <v>70</v>
      </c>
      <c r="F5" s="139" t="s">
        <v>71</v>
      </c>
    </row>
    <row r="6" spans="1:8" ht="15.75" customHeight="1" thickBot="1" x14ac:dyDescent="0.3">
      <c r="A6" s="135"/>
      <c r="B6" s="137"/>
      <c r="C6" s="55" t="s">
        <v>483</v>
      </c>
      <c r="D6" s="55" t="s">
        <v>484</v>
      </c>
      <c r="E6" s="140"/>
      <c r="F6" s="140"/>
    </row>
    <row r="7" spans="1:8" x14ac:dyDescent="0.25">
      <c r="A7" s="56" t="s">
        <v>38</v>
      </c>
      <c r="B7" s="57" t="s">
        <v>507</v>
      </c>
      <c r="C7" s="58" t="s">
        <v>75</v>
      </c>
      <c r="D7" s="58" t="s">
        <v>75</v>
      </c>
      <c r="E7" s="26">
        <v>42736</v>
      </c>
      <c r="F7" s="27"/>
      <c r="H7" s="10" t="s">
        <v>529</v>
      </c>
    </row>
    <row r="8" spans="1:8" x14ac:dyDescent="0.25">
      <c r="A8" s="41" t="s">
        <v>485</v>
      </c>
      <c r="B8" s="42" t="s">
        <v>508</v>
      </c>
      <c r="C8" s="59" t="s">
        <v>75</v>
      </c>
      <c r="D8" s="59" t="s">
        <v>75</v>
      </c>
      <c r="E8" s="26">
        <v>42736</v>
      </c>
      <c r="F8" s="27"/>
      <c r="H8" s="10" t="s">
        <v>530</v>
      </c>
    </row>
    <row r="9" spans="1:8" x14ac:dyDescent="0.25">
      <c r="A9" s="41" t="s">
        <v>486</v>
      </c>
      <c r="B9" s="42" t="s">
        <v>509</v>
      </c>
      <c r="C9" s="59" t="s">
        <v>75</v>
      </c>
      <c r="D9" s="59" t="s">
        <v>75</v>
      </c>
      <c r="E9" s="26">
        <v>42736</v>
      </c>
      <c r="F9" s="27"/>
      <c r="H9" s="10" t="s">
        <v>21</v>
      </c>
    </row>
    <row r="10" spans="1:8" x14ac:dyDescent="0.25">
      <c r="A10" s="41" t="s">
        <v>487</v>
      </c>
      <c r="B10" s="42" t="s">
        <v>510</v>
      </c>
      <c r="C10" s="59" t="s">
        <v>75</v>
      </c>
      <c r="D10" s="59" t="s">
        <v>75</v>
      </c>
      <c r="E10" s="26">
        <v>42736</v>
      </c>
      <c r="F10" s="27"/>
      <c r="H10" s="10" t="s">
        <v>531</v>
      </c>
    </row>
    <row r="11" spans="1:8" x14ac:dyDescent="0.25">
      <c r="A11" s="41" t="s">
        <v>488</v>
      </c>
      <c r="B11" s="42" t="s">
        <v>511</v>
      </c>
      <c r="C11" s="59" t="s">
        <v>75</v>
      </c>
      <c r="D11" s="59" t="s">
        <v>75</v>
      </c>
      <c r="E11" s="26">
        <v>42736</v>
      </c>
      <c r="F11" s="27"/>
      <c r="H11" s="10" t="s">
        <v>532</v>
      </c>
    </row>
    <row r="12" spans="1:8" x14ac:dyDescent="0.25">
      <c r="A12" s="41" t="s">
        <v>489</v>
      </c>
      <c r="B12" s="42" t="s">
        <v>512</v>
      </c>
      <c r="C12" s="59" t="s">
        <v>75</v>
      </c>
      <c r="D12" s="59" t="s">
        <v>75</v>
      </c>
      <c r="E12" s="26">
        <v>42736</v>
      </c>
      <c r="F12" s="27"/>
      <c r="H12" s="10" t="s">
        <v>533</v>
      </c>
    </row>
    <row r="13" spans="1:8" x14ac:dyDescent="0.25">
      <c r="A13" s="41" t="s">
        <v>490</v>
      </c>
      <c r="B13" s="42" t="s">
        <v>513</v>
      </c>
      <c r="C13" s="59" t="s">
        <v>75</v>
      </c>
      <c r="D13" s="59" t="s">
        <v>75</v>
      </c>
      <c r="E13" s="26">
        <v>42736</v>
      </c>
      <c r="F13" s="27"/>
      <c r="H13" s="10" t="s">
        <v>534</v>
      </c>
    </row>
    <row r="14" spans="1:8" x14ac:dyDescent="0.25">
      <c r="A14" s="41" t="s">
        <v>491</v>
      </c>
      <c r="B14" s="42" t="s">
        <v>514</v>
      </c>
      <c r="C14" s="59" t="s">
        <v>75</v>
      </c>
      <c r="D14" s="59" t="s">
        <v>75</v>
      </c>
      <c r="E14" s="26">
        <v>42736</v>
      </c>
      <c r="F14" s="27"/>
      <c r="H14" s="10" t="s">
        <v>535</v>
      </c>
    </row>
    <row r="15" spans="1:8" x14ac:dyDescent="0.25">
      <c r="A15" s="41" t="s">
        <v>492</v>
      </c>
      <c r="B15" s="42" t="s">
        <v>515</v>
      </c>
      <c r="C15" s="59" t="s">
        <v>75</v>
      </c>
      <c r="D15" s="59" t="s">
        <v>75</v>
      </c>
      <c r="E15" s="26">
        <v>42736</v>
      </c>
      <c r="F15" s="27"/>
      <c r="H15" s="10" t="s">
        <v>536</v>
      </c>
    </row>
    <row r="16" spans="1:8" x14ac:dyDescent="0.25">
      <c r="A16" s="41" t="s">
        <v>493</v>
      </c>
      <c r="B16" s="42" t="s">
        <v>516</v>
      </c>
      <c r="C16" s="59" t="s">
        <v>75</v>
      </c>
      <c r="D16" s="59" t="s">
        <v>75</v>
      </c>
      <c r="E16" s="26">
        <v>42736</v>
      </c>
      <c r="F16" s="27"/>
      <c r="H16" s="10" t="s">
        <v>537</v>
      </c>
    </row>
    <row r="17" spans="1:8" x14ac:dyDescent="0.25">
      <c r="A17" s="41" t="s">
        <v>494</v>
      </c>
      <c r="B17" s="42" t="s">
        <v>517</v>
      </c>
      <c r="C17" s="59" t="s">
        <v>75</v>
      </c>
      <c r="D17" s="59" t="s">
        <v>75</v>
      </c>
      <c r="E17" s="26">
        <v>42736</v>
      </c>
      <c r="F17" s="27"/>
      <c r="H17" s="10" t="s">
        <v>538</v>
      </c>
    </row>
    <row r="18" spans="1:8" x14ac:dyDescent="0.25">
      <c r="A18" s="41" t="s">
        <v>495</v>
      </c>
      <c r="B18" s="42" t="s">
        <v>518</v>
      </c>
      <c r="C18" s="59" t="s">
        <v>75</v>
      </c>
      <c r="D18" s="59" t="s">
        <v>2</v>
      </c>
      <c r="E18" s="26">
        <v>42736</v>
      </c>
      <c r="F18" s="27"/>
      <c r="H18" s="10" t="s">
        <v>539</v>
      </c>
    </row>
    <row r="19" spans="1:8" x14ac:dyDescent="0.25">
      <c r="A19" s="41" t="s">
        <v>496</v>
      </c>
      <c r="B19" s="42" t="s">
        <v>519</v>
      </c>
      <c r="C19" s="59" t="s">
        <v>75</v>
      </c>
      <c r="D19" s="59" t="s">
        <v>2</v>
      </c>
      <c r="E19" s="26">
        <v>42736</v>
      </c>
      <c r="F19" s="27"/>
      <c r="H19" s="10" t="s">
        <v>540</v>
      </c>
    </row>
    <row r="20" spans="1:8" x14ac:dyDescent="0.25">
      <c r="A20" s="41" t="s">
        <v>35</v>
      </c>
      <c r="B20" s="42" t="s">
        <v>520</v>
      </c>
      <c r="C20" s="59" t="s">
        <v>75</v>
      </c>
      <c r="D20" s="59" t="s">
        <v>2</v>
      </c>
      <c r="E20" s="26">
        <v>42736</v>
      </c>
      <c r="F20" s="27"/>
      <c r="H20" s="10" t="s">
        <v>541</v>
      </c>
    </row>
    <row r="21" spans="1:8" x14ac:dyDescent="0.25">
      <c r="A21" s="41" t="s">
        <v>36</v>
      </c>
      <c r="B21" s="42" t="s">
        <v>521</v>
      </c>
      <c r="C21" s="59" t="s">
        <v>75</v>
      </c>
      <c r="D21" s="59" t="s">
        <v>2</v>
      </c>
      <c r="E21" s="26">
        <v>42736</v>
      </c>
      <c r="F21" s="27"/>
      <c r="H21" s="10" t="s">
        <v>542</v>
      </c>
    </row>
    <row r="22" spans="1:8" x14ac:dyDescent="0.25">
      <c r="A22" s="41" t="s">
        <v>497</v>
      </c>
      <c r="B22" s="42" t="s">
        <v>522</v>
      </c>
      <c r="C22" s="59" t="s">
        <v>75</v>
      </c>
      <c r="D22" s="59" t="s">
        <v>2</v>
      </c>
      <c r="E22" s="26">
        <v>42736</v>
      </c>
      <c r="F22" s="27"/>
      <c r="H22" s="10" t="s">
        <v>543</v>
      </c>
    </row>
    <row r="23" spans="1:8" x14ac:dyDescent="0.25">
      <c r="A23" s="41" t="s">
        <v>498</v>
      </c>
      <c r="B23" s="42" t="s">
        <v>523</v>
      </c>
      <c r="C23" s="59" t="s">
        <v>75</v>
      </c>
      <c r="D23" s="59" t="s">
        <v>2</v>
      </c>
      <c r="E23" s="26">
        <v>42736</v>
      </c>
      <c r="F23" s="27"/>
      <c r="H23" s="10" t="s">
        <v>544</v>
      </c>
    </row>
    <row r="24" spans="1:8" x14ac:dyDescent="0.25">
      <c r="A24" s="41" t="s">
        <v>499</v>
      </c>
      <c r="B24" s="42" t="s">
        <v>524</v>
      </c>
      <c r="C24" s="59" t="s">
        <v>75</v>
      </c>
      <c r="D24" s="59" t="s">
        <v>2</v>
      </c>
      <c r="E24" s="26">
        <v>42736</v>
      </c>
      <c r="F24" s="27"/>
      <c r="H24" s="10" t="s">
        <v>545</v>
      </c>
    </row>
    <row r="25" spans="1:8" x14ac:dyDescent="0.25">
      <c r="A25" s="41" t="s">
        <v>500</v>
      </c>
      <c r="B25" s="42" t="s">
        <v>525</v>
      </c>
      <c r="C25" s="59" t="s">
        <v>75</v>
      </c>
      <c r="D25" s="59" t="s">
        <v>2</v>
      </c>
      <c r="E25" s="26">
        <v>42736</v>
      </c>
      <c r="F25" s="27"/>
      <c r="H25" s="10" t="s">
        <v>546</v>
      </c>
    </row>
    <row r="26" spans="1:8" x14ac:dyDescent="0.25">
      <c r="A26" s="41" t="s">
        <v>501</v>
      </c>
      <c r="B26" s="42" t="s">
        <v>526</v>
      </c>
      <c r="C26" s="59" t="s">
        <v>75</v>
      </c>
      <c r="D26" s="59" t="s">
        <v>2</v>
      </c>
      <c r="E26" s="26">
        <v>42736</v>
      </c>
      <c r="F26" s="27"/>
      <c r="H26" s="10" t="s">
        <v>547</v>
      </c>
    </row>
    <row r="27" spans="1:8" x14ac:dyDescent="0.25">
      <c r="A27" s="41" t="s">
        <v>37</v>
      </c>
      <c r="B27" s="42" t="s">
        <v>527</v>
      </c>
      <c r="C27" s="59" t="s">
        <v>75</v>
      </c>
      <c r="D27" s="59" t="s">
        <v>2</v>
      </c>
      <c r="E27" s="26">
        <v>42736</v>
      </c>
      <c r="F27" s="27"/>
      <c r="H27" s="10" t="s">
        <v>548</v>
      </c>
    </row>
    <row r="28" spans="1:8" x14ac:dyDescent="0.25">
      <c r="A28" s="41" t="s">
        <v>502</v>
      </c>
      <c r="B28" s="42" t="s">
        <v>528</v>
      </c>
      <c r="C28" s="59" t="s">
        <v>75</v>
      </c>
      <c r="D28" s="59" t="s">
        <v>75</v>
      </c>
      <c r="E28" s="26">
        <v>42825</v>
      </c>
      <c r="F28" s="27"/>
      <c r="H28" s="10" t="s">
        <v>549</v>
      </c>
    </row>
    <row r="29" spans="1:8" ht="15.75" customHeight="1" x14ac:dyDescent="0.25"/>
    <row r="31" spans="1:8" ht="15" customHeight="1" x14ac:dyDescent="0.25"/>
    <row r="48" ht="13.5" customHeight="1" x14ac:dyDescent="0.25"/>
    <row r="50" ht="14.25" customHeight="1" x14ac:dyDescent="0.25"/>
    <row r="64" ht="14.25" customHeight="1" x14ac:dyDescent="0.25"/>
    <row r="67" ht="14.25" customHeight="1" x14ac:dyDescent="0.25"/>
    <row r="74" ht="18" customHeight="1" x14ac:dyDescent="0.25"/>
    <row r="75" ht="15" customHeight="1" x14ac:dyDescent="0.25"/>
    <row r="78" ht="15.75" customHeight="1" x14ac:dyDescent="0.25"/>
    <row r="79" ht="14.25" customHeight="1" x14ac:dyDescent="0.25"/>
    <row r="80" ht="15" customHeight="1" x14ac:dyDescent="0.25"/>
    <row r="83" ht="14.25" customHeight="1" x14ac:dyDescent="0.25"/>
    <row r="84" ht="15" customHeight="1" x14ac:dyDescent="0.25"/>
    <row r="92" ht="14.25" customHeight="1" x14ac:dyDescent="0.25"/>
    <row r="98" ht="16.5" customHeight="1" x14ac:dyDescent="0.25"/>
    <row r="101" ht="14.25" customHeight="1" x14ac:dyDescent="0.25"/>
    <row r="108" ht="15" customHeight="1" x14ac:dyDescent="0.25"/>
    <row r="109" ht="16.5" customHeight="1" x14ac:dyDescent="0.25"/>
    <row r="110" ht="20.25" customHeight="1" x14ac:dyDescent="0.25"/>
    <row r="111" ht="16.5" customHeight="1" x14ac:dyDescent="0.25"/>
    <row r="112" ht="15" customHeight="1" x14ac:dyDescent="0.25"/>
    <row r="114" ht="13.5" customHeight="1" x14ac:dyDescent="0.25"/>
    <row r="119" ht="17.25" customHeight="1" x14ac:dyDescent="0.25"/>
    <row r="120" ht="15.75" customHeight="1" x14ac:dyDescent="0.25"/>
    <row r="124" ht="15" customHeight="1" x14ac:dyDescent="0.25"/>
    <row r="125" ht="15" customHeight="1" x14ac:dyDescent="0.25"/>
  </sheetData>
  <mergeCells count="6">
    <mergeCell ref="F5:F6"/>
    <mergeCell ref="A1:B1"/>
    <mergeCell ref="A5:A6"/>
    <mergeCell ref="B5:B6"/>
    <mergeCell ref="C5:D5"/>
    <mergeCell ref="E5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6FF1-438B-45DC-AEF8-162E1DAF1E3D}">
  <dimension ref="B1:O28"/>
  <sheetViews>
    <sheetView tabSelected="1" topLeftCell="C5" zoomScale="49" zoomScaleNormal="70" workbookViewId="0">
      <selection activeCell="N20" sqref="N20"/>
    </sheetView>
  </sheetViews>
  <sheetFormatPr baseColWidth="10" defaultRowHeight="14.4" x14ac:dyDescent="0.3"/>
  <cols>
    <col min="1" max="1" width="2.109375" customWidth="1"/>
    <col min="2" max="2" width="4.44140625" bestFit="1" customWidth="1"/>
    <col min="3" max="3" width="29.6640625" style="2" customWidth="1"/>
    <col min="4" max="4" width="15.44140625" style="2" customWidth="1"/>
    <col min="5" max="5" width="29.33203125" style="2" customWidth="1"/>
    <col min="6" max="6" width="24.6640625" style="2" customWidth="1"/>
    <col min="7" max="7" width="55.5546875" style="2" customWidth="1"/>
    <col min="8" max="8" width="16.44140625" style="2" bestFit="1" customWidth="1"/>
    <col min="9" max="9" width="12.109375" style="2" customWidth="1"/>
    <col min="10" max="10" width="16.33203125" style="2" customWidth="1"/>
    <col min="11" max="11" width="20" style="2" customWidth="1"/>
    <col min="12" max="12" width="6.33203125" customWidth="1"/>
    <col min="13" max="13" width="17" bestFit="1" customWidth="1"/>
    <col min="14" max="14" width="12" customWidth="1"/>
    <col min="15" max="15" width="19.33203125" customWidth="1"/>
    <col min="17" max="17" width="20.33203125" customWidth="1"/>
  </cols>
  <sheetData>
    <row r="1" spans="2:12" ht="15" customHeight="1" thickBot="1" x14ac:dyDescent="0.35">
      <c r="B1" s="81"/>
      <c r="C1" s="82"/>
      <c r="D1" s="82"/>
      <c r="E1" s="82"/>
      <c r="F1" s="82"/>
    </row>
    <row r="2" spans="2:12" ht="24.75" customHeight="1" x14ac:dyDescent="0.35">
      <c r="B2" s="79"/>
      <c r="C2" s="79" t="s">
        <v>591</v>
      </c>
      <c r="D2" s="112" t="s">
        <v>602</v>
      </c>
      <c r="E2" s="113"/>
      <c r="F2" s="114"/>
      <c r="H2" s="2" t="s">
        <v>598</v>
      </c>
    </row>
    <row r="3" spans="2:12" ht="15" customHeight="1" x14ac:dyDescent="0.3">
      <c r="B3" s="77"/>
      <c r="C3" s="77"/>
      <c r="D3" s="115"/>
      <c r="E3" s="116"/>
      <c r="F3" s="117"/>
      <c r="I3" s="111"/>
      <c r="J3" s="111"/>
      <c r="K3" s="111"/>
      <c r="L3" s="111"/>
    </row>
    <row r="4" spans="2:12" ht="15.75" customHeight="1" thickBot="1" x14ac:dyDescent="0.35">
      <c r="B4" s="121" t="s">
        <v>23</v>
      </c>
      <c r="C4" s="121"/>
      <c r="D4" s="118"/>
      <c r="E4" s="119"/>
      <c r="F4" s="120"/>
      <c r="I4" s="122"/>
      <c r="J4" s="122"/>
      <c r="K4" s="122"/>
      <c r="L4" s="122"/>
    </row>
    <row r="5" spans="2:12" ht="22.5" customHeight="1" x14ac:dyDescent="0.3">
      <c r="B5" s="65"/>
      <c r="C5" s="65"/>
      <c r="D5" s="3"/>
      <c r="E5" s="3"/>
      <c r="I5" s="122"/>
      <c r="J5" s="122"/>
      <c r="K5" s="122"/>
      <c r="L5" s="122"/>
    </row>
    <row r="6" spans="2:12" ht="15" customHeight="1" x14ac:dyDescent="0.3">
      <c r="B6" s="76" t="s">
        <v>24</v>
      </c>
      <c r="C6" s="76"/>
      <c r="D6" s="123" t="s">
        <v>604</v>
      </c>
      <c r="E6" s="124"/>
      <c r="H6" s="3"/>
      <c r="I6" s="122"/>
      <c r="J6" s="122"/>
      <c r="K6" s="122"/>
      <c r="L6" s="122"/>
    </row>
    <row r="7" spans="2:12" ht="15" customHeight="1" x14ac:dyDescent="0.3">
      <c r="B7" s="77"/>
      <c r="C7" s="77"/>
      <c r="D7" s="78"/>
      <c r="E7" s="78"/>
      <c r="H7" s="3"/>
      <c r="I7" s="86"/>
      <c r="J7" s="86"/>
      <c r="K7" s="86"/>
      <c r="L7" s="86"/>
    </row>
    <row r="8" spans="2:12" x14ac:dyDescent="0.3">
      <c r="B8" s="103" t="s">
        <v>25</v>
      </c>
      <c r="C8" s="103"/>
      <c r="D8" s="88" t="s">
        <v>605</v>
      </c>
      <c r="E8" s="80"/>
      <c r="F8" s="91" t="s">
        <v>590</v>
      </c>
      <c r="G8" s="62"/>
      <c r="H8" s="64"/>
    </row>
    <row r="9" spans="2:12" x14ac:dyDescent="0.3">
      <c r="B9" s="103" t="s">
        <v>583</v>
      </c>
      <c r="C9" s="103"/>
      <c r="D9" s="99" t="s">
        <v>607</v>
      </c>
      <c r="E9" s="80"/>
      <c r="F9" s="91" t="s">
        <v>18</v>
      </c>
      <c r="G9" s="62" t="s">
        <v>558</v>
      </c>
      <c r="H9" s="3"/>
      <c r="I9" s="111"/>
      <c r="J9" s="111"/>
      <c r="K9" s="72" t="s">
        <v>588</v>
      </c>
    </row>
    <row r="10" spans="2:12" ht="15" customHeight="1" x14ac:dyDescent="0.3">
      <c r="B10" s="103" t="s">
        <v>584</v>
      </c>
      <c r="C10" s="103"/>
      <c r="D10" s="92" t="s">
        <v>608</v>
      </c>
      <c r="E10" s="80"/>
      <c r="F10" s="91" t="s">
        <v>19</v>
      </c>
      <c r="G10" s="63"/>
      <c r="H10" s="3"/>
      <c r="I10" s="111"/>
      <c r="J10" s="111"/>
      <c r="K10" s="72" t="s">
        <v>589</v>
      </c>
    </row>
    <row r="11" spans="2:12" ht="15" customHeight="1" x14ac:dyDescent="0.3">
      <c r="B11" s="98" t="s">
        <v>585</v>
      </c>
      <c r="C11" s="98"/>
      <c r="D11" s="100" t="s">
        <v>609</v>
      </c>
      <c r="E11" s="80"/>
      <c r="F11" s="91" t="s">
        <v>6</v>
      </c>
      <c r="G11" s="62" t="s">
        <v>563</v>
      </c>
    </row>
    <row r="12" spans="2:12" ht="15" customHeight="1" x14ac:dyDescent="0.3">
      <c r="B12" s="103" t="s">
        <v>586</v>
      </c>
      <c r="C12" s="103"/>
      <c r="D12" s="100" t="s">
        <v>610</v>
      </c>
      <c r="E12" s="80"/>
      <c r="F12" s="91" t="s">
        <v>7</v>
      </c>
      <c r="G12" s="62" t="s">
        <v>559</v>
      </c>
    </row>
    <row r="13" spans="2:12" x14ac:dyDescent="0.3">
      <c r="B13" s="103" t="s">
        <v>587</v>
      </c>
      <c r="C13" s="103"/>
      <c r="D13" s="92" t="s">
        <v>606</v>
      </c>
      <c r="E13" s="80"/>
      <c r="F13" s="93" t="s">
        <v>28</v>
      </c>
      <c r="G13" s="71" t="s">
        <v>21</v>
      </c>
    </row>
    <row r="14" spans="2:12" x14ac:dyDescent="0.3">
      <c r="B14" s="89" t="s">
        <v>597</v>
      </c>
      <c r="C14" s="90"/>
      <c r="D14" s="94"/>
      <c r="E14" s="92" t="s">
        <v>601</v>
      </c>
      <c r="F14" s="88"/>
      <c r="G14" s="3"/>
    </row>
    <row r="15" spans="2:12" ht="15" thickBot="1" x14ac:dyDescent="0.35"/>
    <row r="16" spans="2:12" ht="15" thickBot="1" x14ac:dyDescent="0.35">
      <c r="B16" s="104" t="s">
        <v>17</v>
      </c>
      <c r="C16" s="104"/>
      <c r="D16" s="105"/>
      <c r="E16" s="105"/>
      <c r="F16" s="105"/>
      <c r="G16" s="85" t="s">
        <v>22</v>
      </c>
      <c r="H16" s="85"/>
      <c r="I16" s="106"/>
      <c r="J16" s="106"/>
      <c r="K16" s="107"/>
    </row>
    <row r="18" spans="2:15" x14ac:dyDescent="0.3">
      <c r="B18" s="108" t="s">
        <v>16</v>
      </c>
      <c r="C18" s="108"/>
      <c r="D18" s="108"/>
      <c r="E18" s="108"/>
      <c r="F18" s="108"/>
      <c r="G18" s="108"/>
      <c r="H18" s="108"/>
      <c r="I18" s="108"/>
      <c r="J18" s="108"/>
      <c r="K18" s="108"/>
    </row>
    <row r="19" spans="2:15" ht="15" thickBot="1" x14ac:dyDescent="0.35">
      <c r="B19" s="84" t="s">
        <v>15</v>
      </c>
      <c r="C19" s="70" t="s">
        <v>9</v>
      </c>
      <c r="D19" s="84" t="s">
        <v>3</v>
      </c>
      <c r="E19" s="84" t="s">
        <v>10</v>
      </c>
      <c r="F19" s="84" t="s">
        <v>8</v>
      </c>
      <c r="G19" s="84" t="s">
        <v>4</v>
      </c>
      <c r="H19" s="84" t="s">
        <v>11</v>
      </c>
      <c r="I19" s="110" t="s">
        <v>12</v>
      </c>
      <c r="J19" s="110"/>
      <c r="K19" s="84" t="s">
        <v>13</v>
      </c>
    </row>
    <row r="20" spans="2:15" ht="91.5" customHeight="1" x14ac:dyDescent="0.3">
      <c r="B20" s="73">
        <v>1</v>
      </c>
      <c r="C20" s="101">
        <v>78181500</v>
      </c>
      <c r="D20" s="74">
        <v>3</v>
      </c>
      <c r="E20" s="95" t="s">
        <v>599</v>
      </c>
      <c r="F20" s="74" t="s">
        <v>600</v>
      </c>
      <c r="G20" s="102" t="s">
        <v>603</v>
      </c>
      <c r="H20" s="97">
        <f>132500/1.16/D20</f>
        <v>38074.712643678162</v>
      </c>
      <c r="I20" s="74" t="s">
        <v>14</v>
      </c>
      <c r="J20" s="75">
        <f>(D20*H20)*0.16</f>
        <v>18275.862068965518</v>
      </c>
      <c r="K20" s="75">
        <f>(D20*H20)</f>
        <v>114224.13793103449</v>
      </c>
      <c r="N20" s="83"/>
      <c r="O20" s="96"/>
    </row>
    <row r="21" spans="2:15" x14ac:dyDescent="0.3">
      <c r="B21" s="1"/>
      <c r="G21" s="3"/>
      <c r="H21" s="3"/>
      <c r="J21" s="4"/>
      <c r="K21" s="4"/>
    </row>
    <row r="22" spans="2:15" x14ac:dyDescent="0.3">
      <c r="B22" s="1"/>
      <c r="G22" s="3"/>
      <c r="H22" s="3"/>
      <c r="I22" s="109" t="s">
        <v>1</v>
      </c>
      <c r="J22" s="109"/>
      <c r="K22" s="5">
        <f>SUM(K20:K20)</f>
        <v>114224.13793103449</v>
      </c>
    </row>
    <row r="23" spans="2:15" x14ac:dyDescent="0.3">
      <c r="B23" s="1"/>
      <c r="E23" s="3"/>
      <c r="I23" s="109" t="s">
        <v>27</v>
      </c>
      <c r="J23" s="109"/>
      <c r="K23" s="5">
        <f>SUM(J20:J20)</f>
        <v>18275.862068965518</v>
      </c>
    </row>
    <row r="24" spans="2:15" x14ac:dyDescent="0.3">
      <c r="B24" s="1"/>
      <c r="E24" s="3"/>
      <c r="I24" s="109" t="s">
        <v>0</v>
      </c>
      <c r="J24" s="109"/>
      <c r="K24" s="5">
        <f>K22+K23</f>
        <v>132500</v>
      </c>
    </row>
    <row r="25" spans="2:15" x14ac:dyDescent="0.3">
      <c r="E25" s="3"/>
    </row>
    <row r="26" spans="2:15" x14ac:dyDescent="0.3">
      <c r="E26" s="3"/>
    </row>
    <row r="27" spans="2:15" x14ac:dyDescent="0.3">
      <c r="E27" s="3"/>
    </row>
    <row r="28" spans="2:15" x14ac:dyDescent="0.3">
      <c r="E28" s="3"/>
    </row>
  </sheetData>
  <mergeCells count="22">
    <mergeCell ref="D6:E6"/>
    <mergeCell ref="I6:L6"/>
    <mergeCell ref="D2:F4"/>
    <mergeCell ref="I3:L3"/>
    <mergeCell ref="B4:C4"/>
    <mergeCell ref="I4:L4"/>
    <mergeCell ref="I5:L5"/>
    <mergeCell ref="I24:J24"/>
    <mergeCell ref="I23:J23"/>
    <mergeCell ref="I19:J19"/>
    <mergeCell ref="I10:J10"/>
    <mergeCell ref="I9:J9"/>
    <mergeCell ref="B8:C8"/>
    <mergeCell ref="B9:C9"/>
    <mergeCell ref="B10:C10"/>
    <mergeCell ref="B12:C12"/>
    <mergeCell ref="I22:J22"/>
    <mergeCell ref="B13:C13"/>
    <mergeCell ref="B16:C16"/>
    <mergeCell ref="D16:F16"/>
    <mergeCell ref="I16:K16"/>
    <mergeCell ref="B18:K18"/>
  </mergeCells>
  <dataValidations count="5">
    <dataValidation type="list" allowBlank="1" showInputMessage="1" showErrorMessage="1" sqref="G13:G14" xr:uid="{B759EEAB-8083-40F1-B873-759D27CF6E74}">
      <formula1>USO_CFDI</formula1>
    </dataValidation>
    <dataValidation type="list" allowBlank="1" showInputMessage="1" showErrorMessage="1" sqref="G12" xr:uid="{04E18B23-1210-4A0C-A400-35D05D3E6CD4}">
      <formula1>METODO_PAGO</formula1>
    </dataValidation>
    <dataValidation type="list" allowBlank="1" showInputMessage="1" showErrorMessage="1" sqref="G11" xr:uid="{584F8ED9-EE1A-46BD-BBBC-43EA63C48A34}">
      <formula1>FORMA_PAGO</formula1>
    </dataValidation>
    <dataValidation type="list" allowBlank="1" showInputMessage="1" showErrorMessage="1" sqref="G9" xr:uid="{D0B46145-010F-4033-9ABE-0DB4F13F6D13}">
      <formula1>MONEDA</formula1>
    </dataValidation>
    <dataValidation type="list" allowBlank="1" showInputMessage="1" showErrorMessage="1" sqref="D16:F16" xr:uid="{376DD320-C678-4A43-8F22-5E5003F889BE}">
      <formula1>TIPO_RELACION</formula1>
    </dataValidation>
  </dataValidation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CB6E-ADC7-40E7-8E2D-ACEAE28D815A}">
  <dimension ref="A7:B12"/>
  <sheetViews>
    <sheetView workbookViewId="0">
      <selection activeCell="B14" sqref="B14"/>
    </sheetView>
  </sheetViews>
  <sheetFormatPr baseColWidth="10" defaultRowHeight="14.4" x14ac:dyDescent="0.3"/>
  <cols>
    <col min="2" max="2" width="56" customWidth="1"/>
  </cols>
  <sheetData>
    <row r="7" spans="1:2" x14ac:dyDescent="0.3">
      <c r="A7" s="88">
        <v>1</v>
      </c>
      <c r="B7" t="s">
        <v>592</v>
      </c>
    </row>
    <row r="8" spans="1:2" x14ac:dyDescent="0.3">
      <c r="A8" s="88">
        <v>2</v>
      </c>
      <c r="B8" t="s">
        <v>593</v>
      </c>
    </row>
    <row r="9" spans="1:2" x14ac:dyDescent="0.3">
      <c r="A9" s="88">
        <v>3</v>
      </c>
      <c r="B9" t="s">
        <v>594</v>
      </c>
    </row>
    <row r="10" spans="1:2" x14ac:dyDescent="0.3">
      <c r="A10" s="88">
        <v>4</v>
      </c>
      <c r="B10" t="s">
        <v>596</v>
      </c>
    </row>
    <row r="11" spans="1:2" ht="27" customHeight="1" x14ac:dyDescent="0.3">
      <c r="A11" s="88">
        <v>5</v>
      </c>
      <c r="B11" s="87" t="s">
        <v>595</v>
      </c>
    </row>
    <row r="12" spans="1:2" x14ac:dyDescent="0.3">
      <c r="A12" s="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7</vt:i4>
      </vt:variant>
    </vt:vector>
  </HeadingPairs>
  <TitlesOfParts>
    <vt:vector size="16" baseType="lpstr">
      <vt:lpstr>Forma_Pago</vt:lpstr>
      <vt:lpstr>Impuesto</vt:lpstr>
      <vt:lpstr>Metodo_Pago</vt:lpstr>
      <vt:lpstr>Moneda</vt:lpstr>
      <vt:lpstr>Tipo_Comprobante</vt:lpstr>
      <vt:lpstr>Tipo_Relacion</vt:lpstr>
      <vt:lpstr>Uso_CFDI</vt:lpstr>
      <vt:lpstr>4.0</vt:lpstr>
      <vt:lpstr>Emisor</vt:lpstr>
      <vt:lpstr>FORMA_PAGO</vt:lpstr>
      <vt:lpstr>IMPUESTO</vt:lpstr>
      <vt:lpstr>METODO_PAGO</vt:lpstr>
      <vt:lpstr>MONEDA</vt:lpstr>
      <vt:lpstr>TIPO_COMPROBANTE</vt:lpstr>
      <vt:lpstr>TIPO_RELACION</vt:lpstr>
      <vt:lpstr>USO_CFDI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gmendez</dc:creator>
  <cp:lastModifiedBy>Correo Externos</cp:lastModifiedBy>
  <cp:lastPrinted>2018-04-24T15:36:00Z</cp:lastPrinted>
  <dcterms:created xsi:type="dcterms:W3CDTF">2011-02-21T21:43:22Z</dcterms:created>
  <dcterms:modified xsi:type="dcterms:W3CDTF">2026-08-26T22:16:58Z</dcterms:modified>
</cp:coreProperties>
</file>